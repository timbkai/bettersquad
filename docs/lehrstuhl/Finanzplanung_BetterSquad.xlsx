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mark_pschack_uzk_onmicrosoft_com/Documents/Bachelorseminar CD/"/>
    </mc:Choice>
  </mc:AlternateContent>
  <xr:revisionPtr revIDLastSave="0" documentId="8_{0CACDC71-3965-3B4B-8845-F558B26C32EB}" xr6:coauthVersionLast="47" xr6:coauthVersionMax="47" xr10:uidLastSave="{00000000-0000-0000-0000-000000000000}"/>
  <bookViews>
    <workbookView xWindow="0" yWindow="680" windowWidth="29400" windowHeight="18440" activeTab="2" xr2:uid="{6F61E5A0-EFAF-0E41-91F0-FF24DDC76045}"/>
  </bookViews>
  <sheets>
    <sheet name="Overview" sheetId="9" r:id="rId1"/>
    <sheet name="1 Produkt- und Absatzplanung " sheetId="12" r:id="rId2"/>
    <sheet name="2 Investit- und Personalplanung" sheetId="2" r:id="rId3"/>
    <sheet name="3 GuV - Cashflow" sheetId="1" r:id="rId4"/>
    <sheet name="4 Breakeven" sheetId="4" r:id="rId5"/>
    <sheet name="5 Liquiditätsplanung" sheetId="5" r:id="rId6"/>
    <sheet name="6 Kapitalbedarfsplanung" sheetId="7" r:id="rId7"/>
    <sheet name="7 Bilanz" sheetId="3" r:id="rId8"/>
  </sheets>
  <externalReferences>
    <externalReference r:id="rId9"/>
  </externalReferences>
  <definedNames>
    <definedName name="AddLoans">#REF!</definedName>
    <definedName name="Advertising">#REF!</definedName>
    <definedName name="Annual_Interest_Rate">#REF!</definedName>
    <definedName name="Beg_Bal">#REF!</definedName>
    <definedName name="Buildings">#REF!</definedName>
    <definedName name="Category1" localSheetId="1">'1 Produkt- und Absatzplanung '!$B$37</definedName>
    <definedName name="Category1">#REF!</definedName>
    <definedName name="Category1_Annual_Sales" localSheetId="1">'1 Produkt- und Absatzplanung '!$O$10</definedName>
    <definedName name="Category1_Annual_Sales">#REF!</definedName>
    <definedName name="Category1_SalesPrice" localSheetId="1">'1 Produkt- und Absatzplanung '!#REF!</definedName>
    <definedName name="Category1_SalesPrice">#REF!</definedName>
    <definedName name="Category2" localSheetId="1">'1 Produkt- und Absatzplanung '!$B$38</definedName>
    <definedName name="Category2">#REF!</definedName>
    <definedName name="Category2_Annual_Sales" localSheetId="1">'1 Produkt- und Absatzplanung '!$O$16</definedName>
    <definedName name="Category2_Annual_Sales">#REF!</definedName>
    <definedName name="Category2_SalesPrice" localSheetId="1">'1 Produkt- und Absatzplanung '!#REF!</definedName>
    <definedName name="Category2_SalesPrice">#REF!</definedName>
    <definedName name="Category3" localSheetId="1">'1 Produkt- und Absatzplanung '!$B$39</definedName>
    <definedName name="Category3">#REF!</definedName>
    <definedName name="Category3_Annual_Sales" localSheetId="1">'1 Produkt- und Absatzplanung '!$O$22</definedName>
    <definedName name="Category3_Annual_Sales">#REF!</definedName>
    <definedName name="Category3_SalesPrice" localSheetId="1">'1 Produkt- und Absatzplanung '!#REF!</definedName>
    <definedName name="Category3_SalesPrice">#REF!</definedName>
    <definedName name="Category4" localSheetId="1">'1 Produkt- und Absatzplanung '!#REF!</definedName>
    <definedName name="Category4">#REF!</definedName>
    <definedName name="Category4_Annual_Sales" localSheetId="1">'1 Produkt- und Absatzplanung '!#REF!</definedName>
    <definedName name="Category4_Annual_Sales">#REF!</definedName>
    <definedName name="Category4_SalesPrice" localSheetId="1">'1 Produkt- und Absatzplanung '!#REF!</definedName>
    <definedName name="Category4_SalesPrice">#REF!</definedName>
    <definedName name="Category5" localSheetId="1">'1 Produkt- und Absatzplanung '!#REF!</definedName>
    <definedName name="Category5">#REF!</definedName>
    <definedName name="Category5_Annual_Sales" localSheetId="1">'1 Produkt- und Absatzplanung '!#REF!</definedName>
    <definedName name="Category5_Annual_Sales">#REF!</definedName>
    <definedName name="Category5_SalesPrice" localSheetId="1">'1 Produkt- und Absatzplanung '!#REF!</definedName>
    <definedName name="Category5_SalesPrice">#REF!</definedName>
    <definedName name="Category6" localSheetId="1">'1 Produkt- und Absatzplanung '!#REF!</definedName>
    <definedName name="Category6">#REF!</definedName>
    <definedName name="Category6_Annual_Sales" localSheetId="1">'1 Produkt- und Absatzplanung '!#REF!</definedName>
    <definedName name="Category6_Annual_Sales">#REF!</definedName>
    <definedName name="Category6_SalesPrice" localSheetId="1">'1 Produkt- und Absatzplanung '!#REF!</definedName>
    <definedName name="Category6_SalesPrice">#REF!</definedName>
    <definedName name="Catergory6" localSheetId="1">'1 Produkt- und Absatzplanung '!#REF!</definedName>
    <definedName name="Catergory6">#REF!</definedName>
    <definedName name="CCDebt">#REF!</definedName>
    <definedName name="COGS_Annual_Total" localSheetId="1">'1 Produkt- und Absatzplanung '!$O$33</definedName>
    <definedName name="COGS_Annual_Total">#REF!</definedName>
    <definedName name="CommLoan">#REF!</definedName>
    <definedName name="CommMortgage">#REF!</definedName>
    <definedName name="ContingencyCash">#REF!</definedName>
    <definedName name="Equipment">#REF!</definedName>
    <definedName name="Extra_Pay">#REF!</definedName>
    <definedName name="Furniture">#REF!</definedName>
    <definedName name="Hours" localSheetId="1">'1 Produkt- und Absatzplanung '!#REF!</definedName>
    <definedName name="Info_Entered">#REF!</definedName>
    <definedName name="Int">#REF!</definedName>
    <definedName name="InterestRate_ShortTerm">#REF!</definedName>
    <definedName name="Inventory">#REF!</definedName>
    <definedName name="Land">#REF!</definedName>
    <definedName name="Last_Row" localSheetId="1">IF('1 Produkt- und Absatzplanung '!Values_Entered,Header_Row+'1 Produkt- und Absatzplanung '!Number_of_Payments,Header_Row)</definedName>
    <definedName name="Last_Row">IF(Values_Entered,Header_Row+Number_of_Payments,Header_Row)</definedName>
    <definedName name="LeaseImprovements">#REF!</definedName>
    <definedName name="LegalAcctFees">#REF!</definedName>
    <definedName name="Licenses">#REF!</definedName>
    <definedName name="Loan_Amount">#REF!</definedName>
    <definedName name="Loan_Term_Years">#REF!</definedName>
    <definedName name="LoanAmount_ShortTerm">#REF!</definedName>
    <definedName name="LoanTermYears_ShortTerm">#REF!</definedName>
    <definedName name="Margin_Annual_Total" localSheetId="1">'1 Produkt- und Absatzplanung '!$O$34</definedName>
    <definedName name="Margin_Annual_Total">#REF!</definedName>
    <definedName name="Monthly_Payment_LongTerm">#REF!</definedName>
    <definedName name="NetIncomeY1">'[1]7b-IncomeStatementYrs1-3'!$C$59</definedName>
    <definedName name="NetIncomeY2">'[1]7b-IncomeStatementYrs1-3'!$E$59</definedName>
    <definedName name="NetIncomeY3">'[1]7b-IncomeStatementYrs1-3'!$G$59</definedName>
    <definedName name="Number_of_Payments" localSheetId="1">MATCH(0.01,End_Bal,-1)+1</definedName>
    <definedName name="Number_of_Payments">MATCH(0.01,End_Bal,-1)+1</definedName>
    <definedName name="OtherBankDebt">#REF!</definedName>
    <definedName name="OtherFixedAssets">#REF!</definedName>
    <definedName name="OtherStartUp">#REF!</definedName>
    <definedName name="OutsideInvest">#REF!</definedName>
    <definedName name="OwnerEquity">#REF!</definedName>
    <definedName name="Pay_Num">#REF!</definedName>
    <definedName name="Payments_per_Year">#REF!</definedName>
    <definedName name="PreOpenWages">#REF!</definedName>
    <definedName name="PrepaidInsurance">#REF!</definedName>
    <definedName name="PricePerUnit_Annual_Total" localSheetId="1">'1 Produkt- und Absatzplanung '!#REF!</definedName>
    <definedName name="PricePerUnit_Annual_Total">#REF!</definedName>
    <definedName name="Princ">#REF!</definedName>
    <definedName name="_xlnm.Print_Area" localSheetId="1">'1 Produkt- und Absatzplanung '!$B$6:$O$39</definedName>
    <definedName name="Projected_Yr2_COGS">'[1]3b-SalesForecastYrs1-3'!#REF!</definedName>
    <definedName name="RentDeposit">#REF!</definedName>
    <definedName name="Sales_Annual_Total" localSheetId="1">'1 Produkt- und Absatzplanung '!$O$32</definedName>
    <definedName name="Sales_Annual_Total">#REF!</definedName>
    <definedName name="SalesForecast_yr1">'[1]3b-SalesForecastYrs1-3'!#REF!</definedName>
    <definedName name="SalesForecast_yr2">'[1]3b-SalesForecastYrs1-3'!#REF!</definedName>
    <definedName name="SalesForecast_yr3">'[1]3b-SalesForecastYrs1-3'!#REF!</definedName>
    <definedName name="Sched_Pay">#REF!</definedName>
    <definedName name="Scheduled_Extra_Payments">#REF!</definedName>
    <definedName name="Scheduled_Monthly_Payment">#REF!</definedName>
    <definedName name="Supplies">#REF!</definedName>
    <definedName name="Total_Amount_Paid">#REF!</definedName>
    <definedName name="Total_Fixed_Assets">#REF!</definedName>
    <definedName name="Total_Interest_Paid">#REF!</definedName>
    <definedName name="Total_Pay">#REF!</definedName>
    <definedName name="Total_Payments_LongTerm">#REF!</definedName>
    <definedName name="TotalFixedAssets">#REF!</definedName>
    <definedName name="TotalFunding">#REF!</definedName>
    <definedName name="TotalOperatingCapital">#REF!</definedName>
    <definedName name="TotalRequiredFunds">#REF!</definedName>
    <definedName name="Unit1" localSheetId="1">'1 Produkt- und Absatzplanung '!#REF!</definedName>
    <definedName name="Unit1">#REF!</definedName>
    <definedName name="Unit1_Annual" localSheetId="1">'1 Produkt- und Absatzplanung '!$O$9</definedName>
    <definedName name="Unit1_Annual">#REF!</definedName>
    <definedName name="Unit1_Annual_Sales" localSheetId="1">'1 Produkt- und Absatzplanung '!$O$10</definedName>
    <definedName name="Unit1_Annual_Sales">#REF!</definedName>
    <definedName name="Unit2" localSheetId="1">'1 Produkt- und Absatzplanung '!#REF!</definedName>
    <definedName name="Unit2">#REF!</definedName>
    <definedName name="Unit2_Annual" localSheetId="1">'1 Produkt- und Absatzplanung '!$O$15</definedName>
    <definedName name="Unit2_Annual">#REF!</definedName>
    <definedName name="Unit2_Annual_Sales" localSheetId="1">'1 Produkt- und Absatzplanung '!$O$16</definedName>
    <definedName name="Unit2_Annual_Sales">#REF!</definedName>
    <definedName name="Unit3" localSheetId="1">'1 Produkt- und Absatzplanung '!#REF!</definedName>
    <definedName name="Unit3">#REF!</definedName>
    <definedName name="Unit3_Annual" localSheetId="1">'1 Produkt- und Absatzplanung '!$O$21</definedName>
    <definedName name="Unit3_Annual">#REF!</definedName>
    <definedName name="Unit3_Annual_Sales" localSheetId="1">'1 Produkt- und Absatzplanung '!$O$22</definedName>
    <definedName name="Unit3_Annual_Sales">#REF!</definedName>
    <definedName name="Unit4" localSheetId="1">'1 Produkt- und Absatzplanung '!#REF!</definedName>
    <definedName name="Unit4">#REF!</definedName>
    <definedName name="Unit4_Annual" localSheetId="1">'1 Produkt- und Absatzplanung '!#REF!</definedName>
    <definedName name="Unit4_Annual">#REF!</definedName>
    <definedName name="Unit5" localSheetId="1">'1 Produkt- und Absatzplanung '!#REF!</definedName>
    <definedName name="Unit5">#REF!</definedName>
    <definedName name="Unit5_Annual" localSheetId="1">'1 Produkt- und Absatzplanung '!#REF!</definedName>
    <definedName name="Unit5_Annual">#REF!</definedName>
    <definedName name="Unit6" localSheetId="1">'1 Produkt- und Absatzplanung '!#REF!</definedName>
    <definedName name="Unit6">#REF!</definedName>
    <definedName name="Unit6_Annual" localSheetId="1">'1 Produkt- und Absatzplanung '!#REF!</definedName>
    <definedName name="Unit6_Annual">#REF!</definedName>
    <definedName name="Units_Annual_Total" localSheetId="1">'1 Produkt- und Absatzplanung '!$O$31</definedName>
    <definedName name="Units_Annual_Total">#REF!</definedName>
    <definedName name="UtilityDeposit">#REF!</definedName>
    <definedName name="Values_Entered" localSheetId="1">IF(Loan_Amount*Interest_Rate*Loan_Years*Loan_Start&gt;0,1,0)</definedName>
    <definedName name="Values_Entered">IF(Loan_Amount*Interest_Rate*Loan_Years*Loan_Start&gt;0,1,0)</definedName>
    <definedName name="VehicleLoan">#REF!</definedName>
    <definedName name="Vehicles">#REF!</definedName>
    <definedName name="Working_Capital">#REF!</definedName>
    <definedName name="WorkingCapital">#REF!</definedName>
    <definedName name="Y1EndingCashBal">'[1]6a-CashFlowYear1'!$N$33</definedName>
    <definedName name="YearlyPayments_ShortTer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" i="3" l="1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E35" i="3"/>
  <c r="O16" i="3"/>
  <c r="N16" i="3"/>
  <c r="M16" i="3"/>
  <c r="L16" i="3"/>
  <c r="K16" i="3"/>
  <c r="J16" i="3"/>
  <c r="I16" i="3"/>
  <c r="H16" i="3"/>
  <c r="G16" i="3"/>
  <c r="F16" i="3"/>
  <c r="E16" i="3"/>
  <c r="D16" i="3"/>
  <c r="E8" i="3"/>
  <c r="D8" i="3"/>
  <c r="AD37" i="3"/>
  <c r="AC37" i="3"/>
  <c r="AB37" i="3"/>
  <c r="AA37" i="3"/>
  <c r="AE36" i="3"/>
  <c r="AE35" i="3"/>
  <c r="AD33" i="3"/>
  <c r="AC33" i="3"/>
  <c r="AB33" i="3"/>
  <c r="AA33" i="3"/>
  <c r="AA38" i="3" s="1"/>
  <c r="AE32" i="3"/>
  <c r="AE31" i="3"/>
  <c r="AE30" i="3"/>
  <c r="AE33" i="3" s="1"/>
  <c r="AD27" i="3"/>
  <c r="AC27" i="3"/>
  <c r="AB27" i="3"/>
  <c r="AA27" i="3"/>
  <c r="AE26" i="3"/>
  <c r="AE25" i="3"/>
  <c r="AE24" i="3"/>
  <c r="AD19" i="3"/>
  <c r="AC19" i="3"/>
  <c r="AB19" i="3"/>
  <c r="AA19" i="3"/>
  <c r="AE18" i="3"/>
  <c r="AE17" i="3"/>
  <c r="AE16" i="3"/>
  <c r="AD14" i="3"/>
  <c r="AC14" i="3"/>
  <c r="AC20" i="3" s="1"/>
  <c r="AB14" i="3"/>
  <c r="AA14" i="3"/>
  <c r="AE13" i="3"/>
  <c r="AE12" i="3"/>
  <c r="AE11" i="3"/>
  <c r="AE10" i="3"/>
  <c r="AE9" i="3"/>
  <c r="AE8" i="3"/>
  <c r="D6" i="7"/>
  <c r="D7" i="5"/>
  <c r="S24" i="3" s="1"/>
  <c r="C24" i="5"/>
  <c r="C22" i="5"/>
  <c r="AC13" i="5" s="1"/>
  <c r="W13" i="5"/>
  <c r="V13" i="5"/>
  <c r="T13" i="5"/>
  <c r="S13" i="5"/>
  <c r="N14" i="2" a="1"/>
  <c r="N14" i="2" s="1"/>
  <c r="F6" i="5"/>
  <c r="G6" i="5"/>
  <c r="H6" i="5"/>
  <c r="I6" i="5"/>
  <c r="J6" i="5"/>
  <c r="K6" i="5"/>
  <c r="L6" i="5"/>
  <c r="M6" i="5"/>
  <c r="N6" i="5"/>
  <c r="O6" i="5"/>
  <c r="E6" i="5"/>
  <c r="D6" i="5"/>
  <c r="N37" i="2" a="1"/>
  <c r="N37" i="2" s="1"/>
  <c r="D42" i="1"/>
  <c r="F42" i="1"/>
  <c r="G42" i="1"/>
  <c r="H42" i="1"/>
  <c r="I42" i="1"/>
  <c r="N42" i="1"/>
  <c r="C42" i="1"/>
  <c r="J42" i="1"/>
  <c r="L42" i="1"/>
  <c r="M42" i="1"/>
  <c r="F17" i="1"/>
  <c r="G17" i="1"/>
  <c r="H17" i="1"/>
  <c r="I17" i="1"/>
  <c r="J17" i="1"/>
  <c r="K17" i="1"/>
  <c r="L17" i="1"/>
  <c r="M17" i="1"/>
  <c r="N17" i="1"/>
  <c r="E17" i="1"/>
  <c r="AD18" i="1"/>
  <c r="V18" i="1"/>
  <c r="W18" i="1"/>
  <c r="X18" i="1"/>
  <c r="U18" i="1"/>
  <c r="F18" i="1"/>
  <c r="G18" i="1"/>
  <c r="H18" i="1"/>
  <c r="I18" i="1"/>
  <c r="J18" i="1"/>
  <c r="K18" i="1"/>
  <c r="L18" i="1"/>
  <c r="M18" i="1"/>
  <c r="N18" i="1"/>
  <c r="E18" i="1"/>
  <c r="Q18" i="1"/>
  <c r="R18" i="1"/>
  <c r="S18" i="1"/>
  <c r="P18" i="1"/>
  <c r="D17" i="1"/>
  <c r="D16" i="1" s="1"/>
  <c r="C17" i="1"/>
  <c r="C16" i="1" s="1"/>
  <c r="F69" i="12"/>
  <c r="E69" i="12"/>
  <c r="D69" i="12"/>
  <c r="F68" i="12"/>
  <c r="F67" i="12"/>
  <c r="F66" i="12"/>
  <c r="E67" i="12"/>
  <c r="E68" i="12"/>
  <c r="D68" i="12"/>
  <c r="D67" i="12"/>
  <c r="E66" i="12"/>
  <c r="D66" i="12"/>
  <c r="AD21" i="12"/>
  <c r="AD15" i="12"/>
  <c r="AD9" i="12"/>
  <c r="Y21" i="12"/>
  <c r="Y15" i="12"/>
  <c r="Y9" i="12"/>
  <c r="AD31" i="1"/>
  <c r="AD30" i="1"/>
  <c r="AD29" i="1"/>
  <c r="AD28" i="1"/>
  <c r="AD27" i="1"/>
  <c r="AD22" i="1"/>
  <c r="AD21" i="1"/>
  <c r="AD10" i="1"/>
  <c r="AD9" i="1"/>
  <c r="AD8" i="1"/>
  <c r="AD7" i="1"/>
  <c r="C36" i="2"/>
  <c r="AB16" i="12"/>
  <c r="AB10" i="12"/>
  <c r="AC16" i="12"/>
  <c r="AC10" i="12"/>
  <c r="AC27" i="12"/>
  <c r="AB27" i="12"/>
  <c r="AA27" i="12"/>
  <c r="Z27" i="12"/>
  <c r="AC22" i="12"/>
  <c r="AB22" i="12"/>
  <c r="AA22" i="12"/>
  <c r="Z22" i="12"/>
  <c r="AA16" i="12"/>
  <c r="Z16" i="12"/>
  <c r="AA10" i="12"/>
  <c r="Z10" i="12"/>
  <c r="AE16" i="5"/>
  <c r="AE14" i="5"/>
  <c r="AE9" i="5"/>
  <c r="AE7" i="5"/>
  <c r="E27" i="12"/>
  <c r="E29" i="12" s="1"/>
  <c r="T9" i="12"/>
  <c r="P10" i="12"/>
  <c r="Q10" i="12"/>
  <c r="R10" i="12"/>
  <c r="S10" i="12"/>
  <c r="U10" i="12"/>
  <c r="V10" i="12"/>
  <c r="W10" i="12"/>
  <c r="X10" i="12"/>
  <c r="T15" i="12"/>
  <c r="I16" i="12"/>
  <c r="L16" i="12"/>
  <c r="N16" i="12"/>
  <c r="P16" i="12"/>
  <c r="Q16" i="12"/>
  <c r="R16" i="12"/>
  <c r="S16" i="12"/>
  <c r="U16" i="12"/>
  <c r="V16" i="12"/>
  <c r="W16" i="12"/>
  <c r="X16" i="12"/>
  <c r="T21" i="12"/>
  <c r="E22" i="12"/>
  <c r="F22" i="12"/>
  <c r="G22" i="12"/>
  <c r="H22" i="12"/>
  <c r="J22" i="12"/>
  <c r="L22" i="12"/>
  <c r="M22" i="12"/>
  <c r="N22" i="12"/>
  <c r="P22" i="12"/>
  <c r="Q22" i="12"/>
  <c r="R22" i="12"/>
  <c r="S22" i="12"/>
  <c r="U22" i="12"/>
  <c r="V22" i="12"/>
  <c r="W22" i="12"/>
  <c r="X22" i="12"/>
  <c r="P27" i="12"/>
  <c r="P29" i="12" s="1"/>
  <c r="Q27" i="12"/>
  <c r="R27" i="12"/>
  <c r="S27" i="12"/>
  <c r="U27" i="12"/>
  <c r="V27" i="12"/>
  <c r="W27" i="12"/>
  <c r="X27" i="12"/>
  <c r="F28" i="12"/>
  <c r="G28" i="12" s="1"/>
  <c r="C32" i="12"/>
  <c r="C34" i="12"/>
  <c r="D34" i="12"/>
  <c r="E42" i="12"/>
  <c r="E43" i="12"/>
  <c r="E44" i="12"/>
  <c r="D13" i="7"/>
  <c r="C13" i="7"/>
  <c r="G12" i="7"/>
  <c r="C12" i="7"/>
  <c r="G11" i="7"/>
  <c r="C11" i="7"/>
  <c r="G10" i="7"/>
  <c r="C10" i="7"/>
  <c r="G9" i="7"/>
  <c r="C9" i="7"/>
  <c r="G8" i="7"/>
  <c r="U30" i="3" s="1"/>
  <c r="C8" i="7"/>
  <c r="C6" i="7"/>
  <c r="C5" i="7"/>
  <c r="H24" i="3" l="1"/>
  <c r="AA13" i="5"/>
  <c r="AA20" i="3"/>
  <c r="AC38" i="3"/>
  <c r="AC39" i="3" s="1"/>
  <c r="L24" i="3"/>
  <c r="D70" i="12"/>
  <c r="D72" i="12" s="1"/>
  <c r="H16" i="1"/>
  <c r="T24" i="3"/>
  <c r="AE37" i="3"/>
  <c r="X24" i="3"/>
  <c r="D24" i="3"/>
  <c r="AD13" i="5"/>
  <c r="M16" i="1"/>
  <c r="E24" i="3"/>
  <c r="U24" i="3"/>
  <c r="AB20" i="3"/>
  <c r="AD38" i="3"/>
  <c r="F24" i="3"/>
  <c r="V24" i="3"/>
  <c r="K16" i="1"/>
  <c r="X13" i="5"/>
  <c r="AD20" i="3"/>
  <c r="I16" i="1"/>
  <c r="Y13" i="5"/>
  <c r="M24" i="3"/>
  <c r="N24" i="3"/>
  <c r="AB13" i="5"/>
  <c r="P24" i="3"/>
  <c r="L16" i="1"/>
  <c r="I8" i="3"/>
  <c r="Q8" i="3"/>
  <c r="J10" i="3"/>
  <c r="F30" i="3"/>
  <c r="N30" i="3"/>
  <c r="V30" i="3"/>
  <c r="J8" i="3"/>
  <c r="R8" i="3"/>
  <c r="K10" i="3"/>
  <c r="G30" i="3"/>
  <c r="O30" i="3"/>
  <c r="W30" i="3"/>
  <c r="F70" i="12"/>
  <c r="D39" i="12" s="1"/>
  <c r="C23" i="12" s="1"/>
  <c r="J16" i="1"/>
  <c r="K8" i="3"/>
  <c r="S8" i="3"/>
  <c r="D10" i="3"/>
  <c r="L10" i="3"/>
  <c r="H30" i="3"/>
  <c r="P30" i="3"/>
  <c r="X30" i="3"/>
  <c r="AE14" i="3"/>
  <c r="AE19" i="3"/>
  <c r="AD39" i="3"/>
  <c r="L8" i="3"/>
  <c r="T8" i="3"/>
  <c r="E10" i="3"/>
  <c r="M10" i="3"/>
  <c r="G24" i="3"/>
  <c r="O24" i="3"/>
  <c r="W24" i="3"/>
  <c r="I30" i="3"/>
  <c r="Q30" i="3"/>
  <c r="Y30" i="3"/>
  <c r="AE38" i="3"/>
  <c r="M8" i="3"/>
  <c r="F10" i="3"/>
  <c r="N10" i="3"/>
  <c r="J30" i="3"/>
  <c r="R30" i="3"/>
  <c r="Z30" i="3"/>
  <c r="E16" i="1"/>
  <c r="G16" i="1"/>
  <c r="AE27" i="3"/>
  <c r="F8" i="3"/>
  <c r="N8" i="3"/>
  <c r="G10" i="3"/>
  <c r="O10" i="3"/>
  <c r="I24" i="3"/>
  <c r="Q24" i="3"/>
  <c r="Y24" i="3"/>
  <c r="K30" i="3"/>
  <c r="S30" i="3"/>
  <c r="N16" i="1"/>
  <c r="F16" i="1"/>
  <c r="AB38" i="3"/>
  <c r="AB39" i="3" s="1"/>
  <c r="G8" i="3"/>
  <c r="O8" i="3"/>
  <c r="H10" i="3"/>
  <c r="P10" i="3"/>
  <c r="J24" i="3"/>
  <c r="R24" i="3"/>
  <c r="Z24" i="3"/>
  <c r="D30" i="3"/>
  <c r="L30" i="3"/>
  <c r="T30" i="3"/>
  <c r="H8" i="3"/>
  <c r="P8" i="3"/>
  <c r="I10" i="3"/>
  <c r="K24" i="3"/>
  <c r="E30" i="3"/>
  <c r="M30" i="3"/>
  <c r="AA39" i="3"/>
  <c r="N19" i="2" a="1"/>
  <c r="N19" i="2" s="1"/>
  <c r="N24" i="2" s="1" a="1"/>
  <c r="N24" i="2" s="1"/>
  <c r="N29" i="2" s="1" a="1"/>
  <c r="N29" i="2" s="1"/>
  <c r="N34" i="2" s="1" a="1"/>
  <c r="N34" i="2" s="1"/>
  <c r="T18" i="1"/>
  <c r="X8" i="3" s="1"/>
  <c r="Y18" i="1"/>
  <c r="K42" i="1"/>
  <c r="O18" i="1"/>
  <c r="E70" i="12"/>
  <c r="D38" i="12" s="1"/>
  <c r="D37" i="12"/>
  <c r="Q29" i="12"/>
  <c r="R29" i="12" s="1"/>
  <c r="S29" i="12" s="1"/>
  <c r="AD27" i="12"/>
  <c r="AA24" i="12"/>
  <c r="AB24" i="12"/>
  <c r="AC24" i="12"/>
  <c r="AD10" i="12"/>
  <c r="Z24" i="12"/>
  <c r="AD22" i="12"/>
  <c r="AD16" i="12"/>
  <c r="Y22" i="12"/>
  <c r="O10" i="12"/>
  <c r="F27" i="12"/>
  <c r="F29" i="12" s="1"/>
  <c r="F30" i="12" s="1"/>
  <c r="O27" i="12"/>
  <c r="T27" i="12" s="1"/>
  <c r="Y27" i="12" s="1"/>
  <c r="Y16" i="12"/>
  <c r="E32" i="12"/>
  <c r="F32" i="12"/>
  <c r="T16" i="12"/>
  <c r="O16" i="12"/>
  <c r="Y10" i="12"/>
  <c r="G32" i="12"/>
  <c r="D23" i="12"/>
  <c r="L23" i="12"/>
  <c r="F23" i="12"/>
  <c r="X24" i="12"/>
  <c r="E39" i="12"/>
  <c r="P24" i="12"/>
  <c r="W24" i="12"/>
  <c r="S18" i="12"/>
  <c r="W18" i="12"/>
  <c r="R18" i="12"/>
  <c r="V18" i="12"/>
  <c r="X18" i="12"/>
  <c r="Q18" i="12"/>
  <c r="O22" i="12"/>
  <c r="H28" i="12"/>
  <c r="H32" i="12" s="1"/>
  <c r="E30" i="12"/>
  <c r="T10" i="12"/>
  <c r="T22" i="12"/>
  <c r="D32" i="12"/>
  <c r="G13" i="7"/>
  <c r="AE13" i="5" l="1"/>
  <c r="AE39" i="3"/>
  <c r="U8" i="3"/>
  <c r="E72" i="12"/>
  <c r="W8" i="3"/>
  <c r="Y8" i="3"/>
  <c r="G23" i="12"/>
  <c r="J23" i="12"/>
  <c r="I23" i="12"/>
  <c r="I24" i="12" s="1"/>
  <c r="H23" i="12"/>
  <c r="Z8" i="3"/>
  <c r="AE20" i="3"/>
  <c r="AB18" i="12"/>
  <c r="D17" i="12"/>
  <c r="I17" i="12"/>
  <c r="N17" i="12"/>
  <c r="L17" i="12"/>
  <c r="K17" i="12"/>
  <c r="K18" i="12" s="1"/>
  <c r="E17" i="12"/>
  <c r="E18" i="12" s="1"/>
  <c r="G17" i="12"/>
  <c r="G18" i="12" s="1"/>
  <c r="H17" i="12"/>
  <c r="H18" i="12" s="1"/>
  <c r="E38" i="12"/>
  <c r="F17" i="12"/>
  <c r="F18" i="12" s="1"/>
  <c r="F34" i="12" s="1"/>
  <c r="C17" i="12"/>
  <c r="C33" i="12" s="1"/>
  <c r="M17" i="12"/>
  <c r="M18" i="12" s="1"/>
  <c r="J17" i="12"/>
  <c r="J18" i="12" s="1"/>
  <c r="M23" i="12"/>
  <c r="N23" i="12"/>
  <c r="E23" i="12"/>
  <c r="K23" i="12"/>
  <c r="E43" i="1"/>
  <c r="V8" i="3"/>
  <c r="F72" i="12"/>
  <c r="N39" i="2"/>
  <c r="Z14" i="1" s="1"/>
  <c r="Z18" i="12"/>
  <c r="AC18" i="12"/>
  <c r="AA18" i="12"/>
  <c r="W43" i="1"/>
  <c r="Q43" i="1"/>
  <c r="G43" i="1"/>
  <c r="J43" i="1"/>
  <c r="AA43" i="1"/>
  <c r="X43" i="1"/>
  <c r="R43" i="1"/>
  <c r="H43" i="1"/>
  <c r="P43" i="1"/>
  <c r="Q12" i="5" s="1"/>
  <c r="L43" i="1"/>
  <c r="D43" i="1"/>
  <c r="M43" i="1"/>
  <c r="AB43" i="1"/>
  <c r="U43" i="1"/>
  <c r="S43" i="1"/>
  <c r="I43" i="1"/>
  <c r="K43" i="1"/>
  <c r="C43" i="1"/>
  <c r="AC43" i="1"/>
  <c r="Z43" i="1"/>
  <c r="V43" i="1"/>
  <c r="F43" i="1"/>
  <c r="N43" i="1"/>
  <c r="AD23" i="12"/>
  <c r="T29" i="12"/>
  <c r="U29" i="12" s="1"/>
  <c r="AD17" i="12"/>
  <c r="AD24" i="12"/>
  <c r="AA12" i="12"/>
  <c r="AC12" i="12"/>
  <c r="G27" i="12"/>
  <c r="H27" i="12" s="1"/>
  <c r="U18" i="12"/>
  <c r="Y18" i="12" s="1"/>
  <c r="Y17" i="12"/>
  <c r="R24" i="12"/>
  <c r="V24" i="12"/>
  <c r="S12" i="12"/>
  <c r="R12" i="12"/>
  <c r="X12" i="12"/>
  <c r="Q12" i="12"/>
  <c r="D33" i="12"/>
  <c r="V12" i="12"/>
  <c r="W12" i="12"/>
  <c r="E37" i="12"/>
  <c r="Y23" i="12"/>
  <c r="U24" i="12"/>
  <c r="S24" i="12"/>
  <c r="T17" i="12"/>
  <c r="P18" i="12"/>
  <c r="T18" i="12" s="1"/>
  <c r="I28" i="12"/>
  <c r="T23" i="12"/>
  <c r="K24" i="12"/>
  <c r="Q24" i="12"/>
  <c r="L37" i="2" a="1"/>
  <c r="L37" i="2" s="1"/>
  <c r="J37" i="2" a="1"/>
  <c r="J37" i="2" s="1"/>
  <c r="L34" i="2" a="1"/>
  <c r="L34" i="2" s="1"/>
  <c r="J34" i="2" a="1"/>
  <c r="J34" i="2" s="1"/>
  <c r="H34" i="2" a="1"/>
  <c r="H34" i="2" s="1"/>
  <c r="L29" i="2" a="1"/>
  <c r="L29" i="2" s="1"/>
  <c r="J29" i="2" a="1"/>
  <c r="J29" i="2" s="1"/>
  <c r="H29" i="2" a="1"/>
  <c r="H29" i="2" s="1"/>
  <c r="L24" i="2" a="1"/>
  <c r="L24" i="2" s="1"/>
  <c r="J24" i="2" a="1"/>
  <c r="J24" i="2" s="1"/>
  <c r="H24" i="2" a="1"/>
  <c r="H24" i="2" s="1"/>
  <c r="H19" i="2" a="1"/>
  <c r="H19" i="2" s="1"/>
  <c r="L19" i="2" a="1"/>
  <c r="L19" i="2" s="1"/>
  <c r="J19" i="2" a="1"/>
  <c r="J19" i="2" s="1"/>
  <c r="L14" i="2" a="1"/>
  <c r="L14" i="2" s="1"/>
  <c r="J14" i="2" a="1"/>
  <c r="J14" i="2" s="1"/>
  <c r="H14" i="2" a="1"/>
  <c r="H14" i="2" s="1"/>
  <c r="C39" i="2"/>
  <c r="C21" i="2"/>
  <c r="C14" i="2"/>
  <c r="C33" i="2"/>
  <c r="O18" i="12" l="1"/>
  <c r="O17" i="12"/>
  <c r="F33" i="12"/>
  <c r="F15" i="1" s="1"/>
  <c r="O23" i="12"/>
  <c r="AC20" i="1"/>
  <c r="AC42" i="1" s="1"/>
  <c r="AD12" i="5"/>
  <c r="L10" i="5"/>
  <c r="M10" i="5"/>
  <c r="F10" i="5"/>
  <c r="N10" i="5"/>
  <c r="G10" i="5"/>
  <c r="O10" i="5"/>
  <c r="H10" i="5"/>
  <c r="E10" i="5"/>
  <c r="I10" i="5"/>
  <c r="D10" i="5"/>
  <c r="J10" i="5"/>
  <c r="K10" i="5"/>
  <c r="Q20" i="1"/>
  <c r="Q42" i="1" s="1"/>
  <c r="R12" i="5"/>
  <c r="AA14" i="1"/>
  <c r="AA10" i="5"/>
  <c r="AD10" i="5"/>
  <c r="AC10" i="5"/>
  <c r="AB10" i="5"/>
  <c r="X12" i="5"/>
  <c r="W20" i="1"/>
  <c r="W42" i="1" s="1"/>
  <c r="F12" i="5"/>
  <c r="E20" i="1"/>
  <c r="E42" i="1" s="1"/>
  <c r="O42" i="1" s="1"/>
  <c r="S20" i="1"/>
  <c r="S42" i="1" s="1"/>
  <c r="T12" i="5"/>
  <c r="V12" i="5"/>
  <c r="U20" i="1"/>
  <c r="U42" i="1" s="1"/>
  <c r="Y12" i="5"/>
  <c r="X20" i="1"/>
  <c r="X42" i="1" s="1"/>
  <c r="R20" i="1"/>
  <c r="R42" i="1" s="1"/>
  <c r="S12" i="5"/>
  <c r="V42" i="1"/>
  <c r="V20" i="1"/>
  <c r="W12" i="5"/>
  <c r="AC12" i="5"/>
  <c r="AB20" i="1"/>
  <c r="AB12" i="5"/>
  <c r="AA20" i="1"/>
  <c r="AB14" i="1"/>
  <c r="G11" i="5"/>
  <c r="W19" i="1"/>
  <c r="E19" i="1"/>
  <c r="M19" i="1"/>
  <c r="E11" i="5"/>
  <c r="X19" i="1"/>
  <c r="Y19" i="1" s="1"/>
  <c r="F19" i="1"/>
  <c r="N19" i="1"/>
  <c r="D11" i="5"/>
  <c r="U19" i="1"/>
  <c r="G19" i="1"/>
  <c r="C19" i="1"/>
  <c r="AA19" i="1"/>
  <c r="S19" i="1"/>
  <c r="H19" i="1"/>
  <c r="AB19" i="1"/>
  <c r="Q19" i="1"/>
  <c r="I19" i="1"/>
  <c r="AC19" i="1"/>
  <c r="R19" i="1"/>
  <c r="J19" i="1"/>
  <c r="Z19" i="1"/>
  <c r="P19" i="1"/>
  <c r="K19" i="1"/>
  <c r="V19" i="1"/>
  <c r="D19" i="1"/>
  <c r="L19" i="1"/>
  <c r="AA12" i="5"/>
  <c r="Z20" i="1"/>
  <c r="AC14" i="1"/>
  <c r="J39" i="2"/>
  <c r="L39" i="2"/>
  <c r="AD43" i="1"/>
  <c r="V17" i="1"/>
  <c r="V16" i="1" s="1"/>
  <c r="AA17" i="1"/>
  <c r="AA16" i="1" s="1"/>
  <c r="AA41" i="1" s="1"/>
  <c r="U17" i="1"/>
  <c r="U16" i="1" s="1"/>
  <c r="AC17" i="1"/>
  <c r="AC16" i="1" s="1"/>
  <c r="AC41" i="1" s="1"/>
  <c r="S17" i="1"/>
  <c r="S16" i="1" s="1"/>
  <c r="S41" i="1" s="1"/>
  <c r="P20" i="1"/>
  <c r="P42" i="1" s="1"/>
  <c r="AB17" i="1"/>
  <c r="AB16" i="1" s="1"/>
  <c r="AB41" i="1" s="1"/>
  <c r="R17" i="1"/>
  <c r="R16" i="1" s="1"/>
  <c r="R41" i="1" s="1"/>
  <c r="Q17" i="1"/>
  <c r="Q16" i="1" s="1"/>
  <c r="Q41" i="1" s="1"/>
  <c r="X17" i="1"/>
  <c r="Z17" i="1"/>
  <c r="P17" i="1"/>
  <c r="W17" i="1"/>
  <c r="W16" i="1" s="1"/>
  <c r="W41" i="1" s="1"/>
  <c r="T43" i="1"/>
  <c r="Y43" i="1"/>
  <c r="AB42" i="1"/>
  <c r="AA42" i="1"/>
  <c r="L41" i="1"/>
  <c r="E41" i="1"/>
  <c r="F41" i="1"/>
  <c r="H41" i="1"/>
  <c r="J41" i="1"/>
  <c r="I41" i="1"/>
  <c r="AD18" i="12"/>
  <c r="O43" i="1"/>
  <c r="V29" i="12"/>
  <c r="W29" i="12" s="1"/>
  <c r="X29" i="12" s="1"/>
  <c r="G29" i="12"/>
  <c r="G30" i="12" s="1"/>
  <c r="G34" i="12" s="1"/>
  <c r="AB12" i="12"/>
  <c r="Z12" i="12"/>
  <c r="AD11" i="12"/>
  <c r="I27" i="12"/>
  <c r="H29" i="12"/>
  <c r="H30" i="12" s="1"/>
  <c r="H34" i="12" s="1"/>
  <c r="W33" i="12"/>
  <c r="W15" i="1" s="1"/>
  <c r="X11" i="5" s="1"/>
  <c r="X33" i="12"/>
  <c r="X15" i="1" s="1"/>
  <c r="Y11" i="5" s="1"/>
  <c r="Q33" i="12"/>
  <c r="Q15" i="1" s="1"/>
  <c r="R11" i="5" s="1"/>
  <c r="R33" i="12"/>
  <c r="R15" i="1" s="1"/>
  <c r="S11" i="5" s="1"/>
  <c r="O11" i="12"/>
  <c r="E33" i="12"/>
  <c r="E15" i="1" s="1"/>
  <c r="F11" i="5" s="1"/>
  <c r="O24" i="12"/>
  <c r="Y11" i="12"/>
  <c r="U12" i="12"/>
  <c r="Y12" i="12" s="1"/>
  <c r="O12" i="12"/>
  <c r="T11" i="12"/>
  <c r="P12" i="12"/>
  <c r="T12" i="12" s="1"/>
  <c r="E34" i="12"/>
  <c r="J28" i="12"/>
  <c r="I32" i="12"/>
  <c r="P33" i="12"/>
  <c r="P15" i="1" s="1"/>
  <c r="Q11" i="5" s="1"/>
  <c r="U33" i="12"/>
  <c r="U15" i="1" s="1"/>
  <c r="V11" i="5" s="1"/>
  <c r="T24" i="12"/>
  <c r="S33" i="12"/>
  <c r="S15" i="1" s="1"/>
  <c r="T11" i="5" s="1"/>
  <c r="Y24" i="12"/>
  <c r="N41" i="1"/>
  <c r="M41" i="1"/>
  <c r="D41" i="1"/>
  <c r="C41" i="1"/>
  <c r="Y31" i="1"/>
  <c r="Y30" i="1"/>
  <c r="Y29" i="1"/>
  <c r="Y28" i="1"/>
  <c r="Y27" i="1"/>
  <c r="T31" i="1"/>
  <c r="T30" i="1"/>
  <c r="T29" i="1"/>
  <c r="T28" i="1"/>
  <c r="T27" i="1"/>
  <c r="Y22" i="1"/>
  <c r="Y21" i="1"/>
  <c r="T22" i="1"/>
  <c r="T21" i="1"/>
  <c r="O31" i="1"/>
  <c r="O30" i="1"/>
  <c r="O29" i="1"/>
  <c r="O28" i="1"/>
  <c r="O27" i="1"/>
  <c r="O22" i="1"/>
  <c r="O21" i="1"/>
  <c r="O20" i="1"/>
  <c r="AE12" i="5" l="1"/>
  <c r="O19" i="1"/>
  <c r="Y20" i="1"/>
  <c r="Y42" i="1"/>
  <c r="T19" i="1"/>
  <c r="T42" i="1"/>
  <c r="Y10" i="5"/>
  <c r="Y8" i="5" s="1"/>
  <c r="X10" i="5"/>
  <c r="Z10" i="5" s="1"/>
  <c r="W10" i="5"/>
  <c r="V10" i="5"/>
  <c r="Q10" i="5"/>
  <c r="T10" i="5"/>
  <c r="S10" i="5"/>
  <c r="R10" i="5"/>
  <c r="R8" i="5" s="1"/>
  <c r="T10" i="3"/>
  <c r="T14" i="3" s="1"/>
  <c r="Q10" i="3"/>
  <c r="Q14" i="3" s="1"/>
  <c r="R10" i="3"/>
  <c r="S10" i="3"/>
  <c r="AE10" i="5"/>
  <c r="AD14" i="1"/>
  <c r="V33" i="12"/>
  <c r="V15" i="1" s="1"/>
  <c r="W11" i="5" s="1"/>
  <c r="AD19" i="1"/>
  <c r="T20" i="1"/>
  <c r="F35" i="3"/>
  <c r="V41" i="1"/>
  <c r="Y17" i="1"/>
  <c r="X16" i="1"/>
  <c r="U41" i="1"/>
  <c r="Z16" i="1"/>
  <c r="AD17" i="1"/>
  <c r="T17" i="1"/>
  <c r="V10" i="3" s="1"/>
  <c r="V14" i="3" s="1"/>
  <c r="P16" i="1"/>
  <c r="AD20" i="1"/>
  <c r="Z42" i="1"/>
  <c r="AD42" i="1" s="1"/>
  <c r="O16" i="1"/>
  <c r="G41" i="1"/>
  <c r="O17" i="1"/>
  <c r="K41" i="1"/>
  <c r="G33" i="12"/>
  <c r="G15" i="1" s="1"/>
  <c r="H11" i="5" s="1"/>
  <c r="H8" i="5" s="1"/>
  <c r="T15" i="1"/>
  <c r="AD12" i="12"/>
  <c r="T33" i="12"/>
  <c r="I29" i="12"/>
  <c r="J27" i="12"/>
  <c r="H33" i="12"/>
  <c r="H15" i="1" s="1"/>
  <c r="I11" i="5" s="1"/>
  <c r="I8" i="5" s="1"/>
  <c r="K28" i="12"/>
  <c r="J32" i="12"/>
  <c r="D5" i="5"/>
  <c r="N11" i="1"/>
  <c r="M11" i="1"/>
  <c r="L11" i="1"/>
  <c r="K11" i="1"/>
  <c r="J11" i="1"/>
  <c r="I11" i="1"/>
  <c r="H11" i="1"/>
  <c r="G11" i="1"/>
  <c r="F11" i="1"/>
  <c r="E11" i="1"/>
  <c r="D11" i="1"/>
  <c r="C11" i="1"/>
  <c r="Y7" i="1"/>
  <c r="Y8" i="1"/>
  <c r="Y9" i="1"/>
  <c r="Y10" i="1"/>
  <c r="T7" i="1"/>
  <c r="T8" i="1"/>
  <c r="T9" i="1"/>
  <c r="T10" i="1"/>
  <c r="O7" i="1"/>
  <c r="O8" i="1"/>
  <c r="O9" i="1"/>
  <c r="O10" i="1"/>
  <c r="O6" i="1"/>
  <c r="Z16" i="5"/>
  <c r="Z14" i="5"/>
  <c r="Z13" i="5"/>
  <c r="Z12" i="5"/>
  <c r="Z11" i="5"/>
  <c r="Z9" i="5"/>
  <c r="Z7" i="5"/>
  <c r="U16" i="5"/>
  <c r="U11" i="5"/>
  <c r="U12" i="5"/>
  <c r="U13" i="5"/>
  <c r="U14" i="5"/>
  <c r="U9" i="5"/>
  <c r="U7" i="5"/>
  <c r="V8" i="5"/>
  <c r="T8" i="5"/>
  <c r="S8" i="5"/>
  <c r="Q8" i="5"/>
  <c r="Y37" i="3"/>
  <c r="Y33" i="3"/>
  <c r="X33" i="3"/>
  <c r="W33" i="3"/>
  <c r="V33" i="3"/>
  <c r="T33" i="3"/>
  <c r="S33" i="3"/>
  <c r="R33" i="3"/>
  <c r="Q33" i="3"/>
  <c r="O33" i="3"/>
  <c r="N33" i="3"/>
  <c r="M33" i="3"/>
  <c r="L33" i="3"/>
  <c r="K33" i="3"/>
  <c r="J33" i="3"/>
  <c r="I33" i="3"/>
  <c r="H33" i="3"/>
  <c r="G33" i="3"/>
  <c r="F33" i="3"/>
  <c r="E33" i="3"/>
  <c r="D33" i="3"/>
  <c r="Z32" i="3"/>
  <c r="Z31" i="3"/>
  <c r="Z17" i="3"/>
  <c r="Z13" i="3"/>
  <c r="Z12" i="3"/>
  <c r="Z11" i="3"/>
  <c r="Z9" i="3"/>
  <c r="U32" i="3"/>
  <c r="U31" i="3"/>
  <c r="U17" i="3"/>
  <c r="U13" i="3"/>
  <c r="U12" i="3"/>
  <c r="U11" i="3"/>
  <c r="U9" i="3"/>
  <c r="P32" i="3"/>
  <c r="P31" i="3"/>
  <c r="P17" i="3"/>
  <c r="P13" i="3"/>
  <c r="P12" i="3"/>
  <c r="P11" i="3"/>
  <c r="P9" i="3"/>
  <c r="S14" i="3"/>
  <c r="R14" i="3"/>
  <c r="O14" i="3"/>
  <c r="N14" i="3"/>
  <c r="M14" i="3"/>
  <c r="L14" i="3"/>
  <c r="K14" i="3"/>
  <c r="J14" i="3"/>
  <c r="I14" i="3"/>
  <c r="H14" i="3"/>
  <c r="G14" i="3"/>
  <c r="F14" i="3"/>
  <c r="E14" i="3"/>
  <c r="D14" i="3"/>
  <c r="O5" i="5"/>
  <c r="N5" i="5"/>
  <c r="M5" i="5"/>
  <c r="L5" i="5"/>
  <c r="K5" i="5"/>
  <c r="J5" i="5"/>
  <c r="I5" i="5"/>
  <c r="H5" i="5"/>
  <c r="G5" i="5"/>
  <c r="F5" i="5"/>
  <c r="E5" i="5"/>
  <c r="E8" i="5"/>
  <c r="F8" i="5"/>
  <c r="G8" i="5"/>
  <c r="P6" i="5"/>
  <c r="P7" i="5"/>
  <c r="P9" i="5"/>
  <c r="P10" i="5"/>
  <c r="P13" i="5"/>
  <c r="P14" i="5"/>
  <c r="P16" i="5"/>
  <c r="U10" i="5" l="1"/>
  <c r="X8" i="5"/>
  <c r="Y15" i="1"/>
  <c r="X10" i="3"/>
  <c r="X14" i="3" s="1"/>
  <c r="W8" i="5"/>
  <c r="Y10" i="3"/>
  <c r="Y14" i="3" s="1"/>
  <c r="W10" i="3"/>
  <c r="W14" i="3" s="1"/>
  <c r="U10" i="3"/>
  <c r="U14" i="3" s="1"/>
  <c r="C34" i="4"/>
  <c r="P16" i="3"/>
  <c r="Z10" i="3"/>
  <c r="P33" i="3"/>
  <c r="O41" i="1"/>
  <c r="H15" i="5"/>
  <c r="X41" i="1"/>
  <c r="Y41" i="1" s="1"/>
  <c r="T16" i="1"/>
  <c r="P41" i="1"/>
  <c r="T41" i="1" s="1"/>
  <c r="AD16" i="1"/>
  <c r="Z41" i="1"/>
  <c r="AD41" i="1" s="1"/>
  <c r="Y16" i="1"/>
  <c r="K27" i="12"/>
  <c r="J29" i="12"/>
  <c r="I33" i="12"/>
  <c r="I15" i="1" s="1"/>
  <c r="J11" i="5" s="1"/>
  <c r="J8" i="5" s="1"/>
  <c r="J15" i="5" s="1"/>
  <c r="I30" i="12"/>
  <c r="I34" i="12" s="1"/>
  <c r="L28" i="12"/>
  <c r="K32" i="12"/>
  <c r="Z33" i="3"/>
  <c r="Y38" i="3"/>
  <c r="U33" i="3"/>
  <c r="Z14" i="3"/>
  <c r="P14" i="3"/>
  <c r="O11" i="1"/>
  <c r="Q14" i="1"/>
  <c r="Q23" i="1" s="1"/>
  <c r="E15" i="5"/>
  <c r="P5" i="5"/>
  <c r="F15" i="5"/>
  <c r="G15" i="5"/>
  <c r="I15" i="5"/>
  <c r="Z8" i="5"/>
  <c r="U8" i="5"/>
  <c r="J33" i="12" l="1"/>
  <c r="J15" i="1" s="1"/>
  <c r="K11" i="5" s="1"/>
  <c r="K8" i="5" s="1"/>
  <c r="K15" i="5" s="1"/>
  <c r="J30" i="12"/>
  <c r="J34" i="12" s="1"/>
  <c r="L27" i="12"/>
  <c r="K29" i="12"/>
  <c r="M28" i="12"/>
  <c r="L32" i="12"/>
  <c r="R14" i="1"/>
  <c r="R23" i="1" s="1"/>
  <c r="P14" i="1"/>
  <c r="P23" i="1" s="1"/>
  <c r="S14" i="1"/>
  <c r="S23" i="1" s="1"/>
  <c r="X14" i="1"/>
  <c r="X23" i="1" s="1"/>
  <c r="W14" i="1"/>
  <c r="W23" i="1" s="1"/>
  <c r="V14" i="1"/>
  <c r="V23" i="1" s="1"/>
  <c r="U14" i="1"/>
  <c r="U23" i="1" s="1"/>
  <c r="C25" i="2"/>
  <c r="K33" i="12" l="1"/>
  <c r="K15" i="1" s="1"/>
  <c r="L11" i="5" s="1"/>
  <c r="K30" i="12"/>
  <c r="K34" i="12" s="1"/>
  <c r="L29" i="12"/>
  <c r="M27" i="12"/>
  <c r="N28" i="12"/>
  <c r="M32" i="12"/>
  <c r="T14" i="1"/>
  <c r="Y14" i="1"/>
  <c r="Y23" i="1" s="1"/>
  <c r="C27" i="2"/>
  <c r="D12" i="5" s="1"/>
  <c r="D35" i="3" l="1"/>
  <c r="D8" i="5"/>
  <c r="D15" i="5" s="1"/>
  <c r="P12" i="5"/>
  <c r="L8" i="5"/>
  <c r="L15" i="5" s="1"/>
  <c r="B14" i="7"/>
  <c r="C41" i="2"/>
  <c r="T23" i="1"/>
  <c r="C35" i="4"/>
  <c r="L33" i="12"/>
  <c r="L15" i="1" s="1"/>
  <c r="M11" i="5" s="1"/>
  <c r="M8" i="5" s="1"/>
  <c r="M15" i="5" s="1"/>
  <c r="L30" i="12"/>
  <c r="L34" i="12" s="1"/>
  <c r="M29" i="12"/>
  <c r="N27" i="12"/>
  <c r="N29" i="12" s="1"/>
  <c r="N33" i="12" s="1"/>
  <c r="N32" i="12"/>
  <c r="O32" i="12" s="1"/>
  <c r="O28" i="12"/>
  <c r="P28" i="12" s="1"/>
  <c r="M36" i="3" l="1"/>
  <c r="M37" i="3" s="1"/>
  <c r="M38" i="3" s="1"/>
  <c r="I36" i="3"/>
  <c r="I37" i="3" s="1"/>
  <c r="I38" i="3" s="1"/>
  <c r="E36" i="3"/>
  <c r="E37" i="3" s="1"/>
  <c r="E38" i="3" s="1"/>
  <c r="M18" i="3"/>
  <c r="M19" i="3" s="1"/>
  <c r="M20" i="3" s="1"/>
  <c r="I18" i="3"/>
  <c r="I19" i="3" s="1"/>
  <c r="I20" i="3" s="1"/>
  <c r="E18" i="3"/>
  <c r="E19" i="3" s="1"/>
  <c r="E20" i="3" s="1"/>
  <c r="L36" i="3"/>
  <c r="L37" i="3" s="1"/>
  <c r="L38" i="3" s="1"/>
  <c r="H36" i="3"/>
  <c r="H37" i="3" s="1"/>
  <c r="H38" i="3" s="1"/>
  <c r="D36" i="3"/>
  <c r="L18" i="3"/>
  <c r="L19" i="3" s="1"/>
  <c r="L20" i="3" s="1"/>
  <c r="H18" i="3"/>
  <c r="H19" i="3" s="1"/>
  <c r="H20" i="3" s="1"/>
  <c r="D18" i="3"/>
  <c r="D19" i="3" s="1"/>
  <c r="D20" i="3" s="1"/>
  <c r="K36" i="3"/>
  <c r="K37" i="3" s="1"/>
  <c r="K38" i="3" s="1"/>
  <c r="G36" i="3"/>
  <c r="G37" i="3" s="1"/>
  <c r="G38" i="3" s="1"/>
  <c r="K18" i="3"/>
  <c r="K19" i="3" s="1"/>
  <c r="K20" i="3" s="1"/>
  <c r="G18" i="3"/>
  <c r="G19" i="3" s="1"/>
  <c r="G20" i="3" s="1"/>
  <c r="J36" i="3"/>
  <c r="J37" i="3" s="1"/>
  <c r="J38" i="3" s="1"/>
  <c r="F36" i="3"/>
  <c r="F37" i="3" s="1"/>
  <c r="F38" i="3" s="1"/>
  <c r="J18" i="3"/>
  <c r="J19" i="3" s="1"/>
  <c r="J20" i="3" s="1"/>
  <c r="F18" i="3"/>
  <c r="F19" i="3" s="1"/>
  <c r="F20" i="3" s="1"/>
  <c r="D37" i="3"/>
  <c r="D38" i="3" s="1"/>
  <c r="N15" i="1"/>
  <c r="O11" i="5" s="1"/>
  <c r="N30" i="12"/>
  <c r="N34" i="12" s="1"/>
  <c r="M33" i="12"/>
  <c r="M15" i="1" s="1"/>
  <c r="N11" i="5" s="1"/>
  <c r="N8" i="5" s="1"/>
  <c r="N15" i="5" s="1"/>
  <c r="M30" i="12"/>
  <c r="M34" i="12" s="1"/>
  <c r="O29" i="12"/>
  <c r="Q28" i="12"/>
  <c r="P30" i="12"/>
  <c r="P32" i="12"/>
  <c r="P6" i="1" s="1"/>
  <c r="O8" i="5" l="1"/>
  <c r="O15" i="5" s="1"/>
  <c r="P11" i="5"/>
  <c r="P8" i="5" s="1"/>
  <c r="P15" i="5" s="1"/>
  <c r="N36" i="3"/>
  <c r="N37" i="3" s="1"/>
  <c r="N38" i="3" s="1"/>
  <c r="N18" i="3"/>
  <c r="N19" i="3" s="1"/>
  <c r="N20" i="3" s="1"/>
  <c r="Q6" i="5"/>
  <c r="Q16" i="3"/>
  <c r="P11" i="1"/>
  <c r="P25" i="1" s="1"/>
  <c r="P32" i="1" s="1"/>
  <c r="O34" i="12"/>
  <c r="O33" i="12"/>
  <c r="O15" i="1"/>
  <c r="O30" i="12"/>
  <c r="P34" i="12"/>
  <c r="R28" i="12"/>
  <c r="Q30" i="12"/>
  <c r="Q34" i="12" s="1"/>
  <c r="Q32" i="12"/>
  <c r="Q6" i="1" s="1"/>
  <c r="P36" i="3" l="1"/>
  <c r="P37" i="3" s="1"/>
  <c r="P38" i="3" s="1"/>
  <c r="P18" i="3"/>
  <c r="P19" i="3" s="1"/>
  <c r="P20" i="3" s="1"/>
  <c r="Q11" i="1"/>
  <c r="Q25" i="1" s="1"/>
  <c r="Q32" i="1" s="1"/>
  <c r="Q34" i="1" s="1"/>
  <c r="R16" i="3"/>
  <c r="R6" i="5"/>
  <c r="R5" i="5" s="1"/>
  <c r="R15" i="5" s="1"/>
  <c r="O18" i="3"/>
  <c r="O19" i="3" s="1"/>
  <c r="O20" i="3" s="1"/>
  <c r="Q5" i="5"/>
  <c r="Q15" i="5" s="1"/>
  <c r="Q18" i="3" s="1"/>
  <c r="Q19" i="3" s="1"/>
  <c r="Q20" i="3" s="1"/>
  <c r="O36" i="3"/>
  <c r="O37" i="3" s="1"/>
  <c r="O38" i="3" s="1"/>
  <c r="P34" i="1"/>
  <c r="P40" i="1"/>
  <c r="R30" i="12"/>
  <c r="R34" i="12" s="1"/>
  <c r="R32" i="12"/>
  <c r="R6" i="1" s="1"/>
  <c r="S28" i="12"/>
  <c r="Q40" i="1" l="1"/>
  <c r="Q44" i="1" s="1"/>
  <c r="R36" i="3"/>
  <c r="R37" i="3" s="1"/>
  <c r="R38" i="3" s="1"/>
  <c r="R18" i="3"/>
  <c r="R11" i="1"/>
  <c r="R25" i="1" s="1"/>
  <c r="R32" i="1" s="1"/>
  <c r="R40" i="1" s="1"/>
  <c r="R44" i="1" s="1"/>
  <c r="S6" i="5"/>
  <c r="S5" i="5" s="1"/>
  <c r="S15" i="5" s="1"/>
  <c r="S16" i="3"/>
  <c r="R19" i="3"/>
  <c r="R20" i="3" s="1"/>
  <c r="Q36" i="3"/>
  <c r="Q37" i="3" s="1"/>
  <c r="Q38" i="3" s="1"/>
  <c r="P44" i="1"/>
  <c r="S32" i="12"/>
  <c r="S30" i="12"/>
  <c r="T28" i="12"/>
  <c r="U28" i="12" s="1"/>
  <c r="R34" i="1" l="1"/>
  <c r="S36" i="3"/>
  <c r="S37" i="3" s="1"/>
  <c r="S38" i="3" s="1"/>
  <c r="S18" i="3"/>
  <c r="S19" i="3" s="1"/>
  <c r="S20" i="3" s="1"/>
  <c r="T32" i="12"/>
  <c r="S6" i="1"/>
  <c r="U30" i="12"/>
  <c r="V28" i="12"/>
  <c r="Y29" i="12" s="1"/>
  <c r="Z29" i="12" s="1"/>
  <c r="U32" i="12"/>
  <c r="U6" i="1" s="1"/>
  <c r="S34" i="12"/>
  <c r="T34" i="12" s="1"/>
  <c r="T30" i="12"/>
  <c r="T16" i="3" l="1"/>
  <c r="T6" i="5"/>
  <c r="V16" i="3"/>
  <c r="V6" i="5"/>
  <c r="AA29" i="12"/>
  <c r="Z33" i="12"/>
  <c r="U11" i="1"/>
  <c r="U25" i="1" s="1"/>
  <c r="U32" i="1" s="1"/>
  <c r="S11" i="1"/>
  <c r="S25" i="1" s="1"/>
  <c r="S32" i="1" s="1"/>
  <c r="T6" i="1"/>
  <c r="U16" i="3" s="1"/>
  <c r="W28" i="12"/>
  <c r="V30" i="12"/>
  <c r="V34" i="12" s="1"/>
  <c r="V32" i="12"/>
  <c r="U34" i="12"/>
  <c r="T5" i="5" l="1"/>
  <c r="T15" i="5" s="1"/>
  <c r="U6" i="5"/>
  <c r="U5" i="5" s="1"/>
  <c r="U15" i="5" s="1"/>
  <c r="V5" i="5"/>
  <c r="V15" i="5" s="1"/>
  <c r="T11" i="1"/>
  <c r="T25" i="1" s="1"/>
  <c r="T32" i="1" s="1"/>
  <c r="T34" i="1" s="1"/>
  <c r="D34" i="4"/>
  <c r="D35" i="4" s="1"/>
  <c r="Z15" i="1"/>
  <c r="V6" i="1"/>
  <c r="Y33" i="12"/>
  <c r="AA33" i="12"/>
  <c r="AA15" i="1" s="1"/>
  <c r="AB29" i="12"/>
  <c r="S40" i="1"/>
  <c r="S34" i="1"/>
  <c r="U40" i="1"/>
  <c r="U34" i="1"/>
  <c r="W30" i="12"/>
  <c r="X28" i="12"/>
  <c r="Y28" i="12" s="1"/>
  <c r="W32" i="12"/>
  <c r="W6" i="1" s="1"/>
  <c r="X16" i="3" l="1"/>
  <c r="X6" i="5"/>
  <c r="X5" i="5" s="1"/>
  <c r="X15" i="5" s="1"/>
  <c r="AA23" i="1"/>
  <c r="AB11" i="5"/>
  <c r="AB8" i="5" s="1"/>
  <c r="V11" i="1"/>
  <c r="V25" i="1" s="1"/>
  <c r="V32" i="1" s="1"/>
  <c r="V34" i="1" s="1"/>
  <c r="W6" i="5"/>
  <c r="W16" i="3"/>
  <c r="Z23" i="1"/>
  <c r="AA11" i="5"/>
  <c r="U36" i="3"/>
  <c r="U37" i="3" s="1"/>
  <c r="U38" i="3" s="1"/>
  <c r="T36" i="3"/>
  <c r="T37" i="3" s="1"/>
  <c r="T38" i="3" s="1"/>
  <c r="U18" i="3"/>
  <c r="U19" i="3" s="1"/>
  <c r="U20" i="3" s="1"/>
  <c r="T18" i="3"/>
  <c r="T19" i="3" s="1"/>
  <c r="T20" i="3" s="1"/>
  <c r="S44" i="1"/>
  <c r="T40" i="1"/>
  <c r="T44" i="1" s="1"/>
  <c r="U44" i="1"/>
  <c r="AC29" i="12"/>
  <c r="AC33" i="12" s="1"/>
  <c r="AC15" i="1" s="1"/>
  <c r="AB33" i="12"/>
  <c r="AB15" i="1" s="1"/>
  <c r="AD29" i="12"/>
  <c r="W11" i="1"/>
  <c r="W25" i="1" s="1"/>
  <c r="W32" i="1" s="1"/>
  <c r="X30" i="12"/>
  <c r="X34" i="12" s="1"/>
  <c r="X32" i="12"/>
  <c r="Z28" i="12"/>
  <c r="W34" i="12"/>
  <c r="W5" i="5" l="1"/>
  <c r="W15" i="5" s="1"/>
  <c r="AB23" i="1"/>
  <c r="AC11" i="5"/>
  <c r="AC8" i="5" s="1"/>
  <c r="AC23" i="1"/>
  <c r="AD11" i="5"/>
  <c r="AD8" i="5" s="1"/>
  <c r="V40" i="1"/>
  <c r="V44" i="1" s="1"/>
  <c r="AA8" i="5"/>
  <c r="AD15" i="1"/>
  <c r="AD23" i="1" s="1"/>
  <c r="AD33" i="12"/>
  <c r="Y32" i="12"/>
  <c r="X6" i="1"/>
  <c r="W34" i="1"/>
  <c r="W40" i="1"/>
  <c r="W44" i="1" s="1"/>
  <c r="Z32" i="12"/>
  <c r="Z30" i="12"/>
  <c r="AA28" i="12"/>
  <c r="Y30" i="12"/>
  <c r="Y34" i="12"/>
  <c r="Y16" i="3" l="1"/>
  <c r="Y19" i="3" s="1"/>
  <c r="Y20" i="3" s="1"/>
  <c r="Y6" i="5"/>
  <c r="V18" i="3"/>
  <c r="V19" i="3" s="1"/>
  <c r="V20" i="3" s="1"/>
  <c r="W18" i="3"/>
  <c r="W19" i="3" s="1"/>
  <c r="W20" i="3" s="1"/>
  <c r="V36" i="3"/>
  <c r="V37" i="3" s="1"/>
  <c r="V38" i="3" s="1"/>
  <c r="W36" i="3"/>
  <c r="W37" i="3" s="1"/>
  <c r="W38" i="3" s="1"/>
  <c r="AE11" i="5"/>
  <c r="AE8" i="5" s="1"/>
  <c r="Z6" i="1"/>
  <c r="X11" i="1"/>
  <c r="X25" i="1" s="1"/>
  <c r="X32" i="1" s="1"/>
  <c r="Y6" i="1"/>
  <c r="Z16" i="3" s="1"/>
  <c r="AA30" i="12"/>
  <c r="AA34" i="12" s="1"/>
  <c r="AA32" i="12"/>
  <c r="AA6" i="1" s="1"/>
  <c r="AB6" i="5" s="1"/>
  <c r="AB5" i="5" s="1"/>
  <c r="AB15" i="5" s="1"/>
  <c r="AB28" i="12"/>
  <c r="Z34" i="12"/>
  <c r="Z11" i="1" l="1"/>
  <c r="Z25" i="1" s="1"/>
  <c r="Z32" i="1" s="1"/>
  <c r="Z40" i="1" s="1"/>
  <c r="Z44" i="1" s="1"/>
  <c r="AA6" i="5"/>
  <c r="Y5" i="5"/>
  <c r="Y15" i="5" s="1"/>
  <c r="Z6" i="5"/>
  <c r="Z5" i="5" s="1"/>
  <c r="Z15" i="5" s="1"/>
  <c r="Y11" i="1"/>
  <c r="Y25" i="1" s="1"/>
  <c r="Y32" i="1" s="1"/>
  <c r="Y34" i="1" s="1"/>
  <c r="E34" i="4"/>
  <c r="E35" i="4" s="1"/>
  <c r="Z34" i="1"/>
  <c r="X40" i="1"/>
  <c r="X34" i="1"/>
  <c r="AA11" i="1"/>
  <c r="AA25" i="1" s="1"/>
  <c r="AA32" i="1" s="1"/>
  <c r="AB30" i="12"/>
  <c r="AC28" i="12"/>
  <c r="AB32" i="12"/>
  <c r="AB6" i="1" s="1"/>
  <c r="X36" i="3" l="1"/>
  <c r="X37" i="3" s="1"/>
  <c r="X38" i="3" s="1"/>
  <c r="X18" i="3"/>
  <c r="X19" i="3" s="1"/>
  <c r="X20" i="3" s="1"/>
  <c r="Z18" i="3"/>
  <c r="Z19" i="3" s="1"/>
  <c r="Z20" i="3" s="1"/>
  <c r="Z36" i="3"/>
  <c r="Z37" i="3" s="1"/>
  <c r="Z38" i="3" s="1"/>
  <c r="AA5" i="5"/>
  <c r="AA15" i="5" s="1"/>
  <c r="AB11" i="1"/>
  <c r="AB25" i="1" s="1"/>
  <c r="AB32" i="1" s="1"/>
  <c r="AB34" i="1" s="1"/>
  <c r="AC6" i="5"/>
  <c r="AC5" i="5" s="1"/>
  <c r="AC15" i="5" s="1"/>
  <c r="X44" i="1"/>
  <c r="Y40" i="1"/>
  <c r="Y44" i="1" s="1"/>
  <c r="AA34" i="1"/>
  <c r="AA40" i="1"/>
  <c r="AD28" i="12"/>
  <c r="AC30" i="12"/>
  <c r="AC34" i="12" s="1"/>
  <c r="AC32" i="12"/>
  <c r="AD32" i="12" s="1"/>
  <c r="AB34" i="12"/>
  <c r="AB40" i="1" l="1"/>
  <c r="AB44" i="1" s="1"/>
  <c r="AA44" i="1"/>
  <c r="AD34" i="12"/>
  <c r="AD36" i="12" s="1"/>
  <c r="AC6" i="1"/>
  <c r="AD6" i="5" s="1"/>
  <c r="AD5" i="5" s="1"/>
  <c r="AD15" i="5" s="1"/>
  <c r="AD30" i="12"/>
  <c r="AE6" i="5" l="1"/>
  <c r="AE5" i="5" s="1"/>
  <c r="AE15" i="5" s="1"/>
  <c r="AC11" i="1"/>
  <c r="AC25" i="1" s="1"/>
  <c r="AC32" i="1" s="1"/>
  <c r="AD6" i="1"/>
  <c r="AD11" i="1" l="1"/>
  <c r="AD25" i="1" s="1"/>
  <c r="AD32" i="1" s="1"/>
  <c r="AD34" i="1" s="1"/>
  <c r="F34" i="4"/>
  <c r="F35" i="4" s="1"/>
  <c r="AC34" i="1"/>
  <c r="AC40" i="1"/>
  <c r="AC44" i="1" l="1"/>
  <c r="AD40" i="1"/>
  <c r="AD44" i="1" s="1"/>
  <c r="L39" i="3"/>
  <c r="L27" i="3"/>
  <c r="L26" i="3"/>
  <c r="J39" i="3"/>
  <c r="J27" i="3"/>
  <c r="J26" i="3"/>
  <c r="O39" i="3"/>
  <c r="O27" i="3"/>
  <c r="O26" i="3"/>
  <c r="E26" i="3"/>
  <c r="E27" i="3"/>
  <c r="E39" i="3"/>
  <c r="F26" i="3"/>
  <c r="F27" i="3"/>
  <c r="F39" i="3"/>
  <c r="O14" i="1"/>
  <c r="O23" i="1"/>
  <c r="O25" i="1"/>
  <c r="O32" i="1"/>
  <c r="O34" i="1"/>
  <c r="H37" i="2"/>
  <c r="H39" i="3"/>
  <c r="H27" i="3"/>
  <c r="H26" i="3"/>
  <c r="I26" i="3"/>
  <c r="I27" i="3"/>
  <c r="I39" i="3"/>
  <c r="N39" i="3"/>
  <c r="N27" i="3"/>
  <c r="N26" i="3"/>
  <c r="T26" i="3"/>
  <c r="T27" i="3"/>
  <c r="T39" i="3"/>
  <c r="J40" i="1"/>
  <c r="J14" i="1"/>
  <c r="J23" i="1"/>
  <c r="J25" i="1"/>
  <c r="J32" i="1"/>
  <c r="J34" i="1"/>
  <c r="G39" i="3"/>
  <c r="G27" i="3"/>
  <c r="G26" i="3"/>
  <c r="E34" i="1"/>
  <c r="E14" i="1"/>
  <c r="E23" i="1"/>
  <c r="E25" i="1"/>
  <c r="E32" i="1"/>
  <c r="E40" i="1"/>
  <c r="Z26" i="3"/>
  <c r="Z27" i="3"/>
  <c r="Z39" i="3"/>
  <c r="G40" i="1"/>
  <c r="G14" i="1"/>
  <c r="G23" i="1"/>
  <c r="G25" i="1"/>
  <c r="G32" i="1"/>
  <c r="G34" i="1"/>
  <c r="M39" i="3"/>
  <c r="M27" i="3"/>
  <c r="M26" i="3"/>
  <c r="C40" i="1"/>
  <c r="O40" i="1"/>
  <c r="O44" i="1"/>
  <c r="V26" i="3"/>
  <c r="V27" i="3"/>
  <c r="V39" i="3"/>
  <c r="K26" i="3"/>
  <c r="K27" i="3"/>
  <c r="K39" i="3"/>
  <c r="F34" i="1"/>
  <c r="F14" i="1"/>
  <c r="F23" i="1"/>
  <c r="F25" i="1"/>
  <c r="F32" i="1"/>
  <c r="F40" i="1"/>
  <c r="D39" i="3"/>
  <c r="D27" i="3"/>
  <c r="D26" i="3"/>
  <c r="K40" i="1"/>
  <c r="K14" i="1"/>
  <c r="K23" i="1"/>
  <c r="K25" i="1"/>
  <c r="K32" i="1"/>
  <c r="K34" i="1"/>
  <c r="U26" i="3"/>
  <c r="U27" i="3"/>
  <c r="U39" i="3"/>
  <c r="D40" i="1"/>
  <c r="D14" i="1"/>
  <c r="D23" i="1"/>
  <c r="D25" i="1"/>
  <c r="D32" i="1"/>
  <c r="D34" i="1"/>
  <c r="M40" i="1"/>
  <c r="M14" i="1"/>
  <c r="M23" i="1"/>
  <c r="M25" i="1"/>
  <c r="M32" i="1"/>
  <c r="M34" i="1"/>
  <c r="X39" i="3"/>
  <c r="X27" i="3"/>
  <c r="X26" i="3"/>
  <c r="S26" i="3"/>
  <c r="S27" i="3"/>
  <c r="S39" i="3"/>
  <c r="W26" i="3"/>
  <c r="W27" i="3"/>
  <c r="W39" i="3"/>
  <c r="P26" i="3"/>
  <c r="P27" i="3"/>
  <c r="P39" i="3"/>
  <c r="L40" i="1"/>
  <c r="L14" i="1"/>
  <c r="L23" i="1"/>
  <c r="L25" i="1"/>
  <c r="L32" i="1"/>
  <c r="L34" i="1"/>
  <c r="Q26" i="3"/>
  <c r="Q27" i="3"/>
  <c r="Q39" i="3"/>
  <c r="I40" i="1"/>
  <c r="I14" i="1"/>
  <c r="I23" i="1"/>
  <c r="I25" i="1"/>
  <c r="I32" i="1"/>
  <c r="I34" i="1"/>
  <c r="Y26" i="3"/>
  <c r="Y27" i="3"/>
  <c r="Y39" i="3"/>
  <c r="N34" i="1"/>
  <c r="N14" i="1"/>
  <c r="N23" i="1"/>
  <c r="N25" i="1"/>
  <c r="N32" i="1"/>
  <c r="N40" i="1"/>
  <c r="C14" i="1"/>
  <c r="C23" i="1"/>
  <c r="C25" i="1"/>
  <c r="C32" i="1"/>
  <c r="C34" i="1"/>
  <c r="R26" i="3"/>
  <c r="R27" i="3"/>
  <c r="R39" i="3"/>
  <c r="H40" i="1"/>
  <c r="H37" i="2" a="1"/>
  <c r="H39" i="2"/>
  <c r="H14" i="1"/>
  <c r="H23" i="1"/>
  <c r="H25" i="1"/>
  <c r="H32" i="1"/>
  <c r="H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tc={1F135B40-11E5-A84B-BA9E-8A52B8A18CA8}</author>
    <author>tc={EB215AC3-2A40-A247-B73F-5F176ABEFF33}</author>
    <author>tc={E0AF5545-2BF8-AF48-AD18-3C52581D3A19}</author>
  </authors>
  <commentList>
    <comment ref="O15" authorId="0" shapeId="0" xr:uid="{1F135B40-11E5-A84B-BA9E-8A52B8A18C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Conversion von 4 der anfänglichen 6 Pilotvereine (Verpflichtung des Kaufe eines Pro-Abonnement)</t>
      </text>
    </comment>
    <comment ref="O21" authorId="1" shapeId="0" xr:uid="{EB215AC3-2A40-A247-B73F-5F176ABEFF3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Conversion von 4 der anfänglichen 6 Pilotvereine (Verpflichtung des Kaufe eines Pro- oder Elite Abonnement)</t>
      </text>
    </comment>
    <comment ref="AD27" authorId="2" shapeId="0" xr:uid="{E0AF5545-2BF8-AF48-AD18-3C52581D3A19}">
      <text>
        <t>[Threaded comment]
Your version of Excel allows you to read this threaded comment; however, any edits to it will get removed if the file is opened in a newer version of Excel. Learn more: https://go.microsoft.com/fwlink/?linkid=870924
Comment:
    Vertragslaufzeit von Vereinen die Vertrag im Jahr 2 abgeschlossen haben endet. 7 Vereine sind im Jahr 4 abgesprungen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tc={8F802C41-5EA9-D845-B1DB-A603FFB27B59}</author>
    <author>tc={2A46CAE1-27E8-7A40-9C3D-DDF8CA0CD21A}</author>
    <author>tc={5DE149BF-C77F-0C4D-87A8-3FC03DC17DE4}</author>
    <author>tc={13BB4885-F35F-DD43-8460-589FEF0D2F1A}</author>
    <author>tc={E4849039-8428-AC4C-A88E-56DD2C64DBEC}</author>
  </authors>
  <commentList>
    <comment ref="B17" authorId="0" shapeId="0" xr:uid="{8F802C41-5EA9-D845-B1DB-A603FFB27B59}">
      <text>
        <t>[Threaded comment]
Your version of Excel allows you to read this threaded comment; however, any edits to it will get removed if the file is opened in a newer version of Excel. Learn more: https://go.microsoft.com/fwlink/?linkid=870924
Comment:
    3 Jahre Abschreibung (Laptop + Performance-Tracking Geräte)</t>
      </text>
    </comment>
    <comment ref="O17" authorId="1" shapeId="0" xr:uid="{2A46CAE1-27E8-7A40-9C3D-DDF8CA0CD2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Statt 10 Monate über 12 Monate abgeschrieben. Vereinfachen der Rechnung</t>
      </text>
    </comment>
    <comment ref="B18" authorId="2" shapeId="0" xr:uid="{5DE149BF-C77F-0C4D-87A8-3FC03DC17DE4}">
      <text>
        <t>[Threaded comment]
Your version of Excel allows you to read this threaded comment; however, any edits to it will get removed if the file is opened in a newer version of Excel. Learn more: https://go.microsoft.com/fwlink/?linkid=870924
Comment:
    3 Jahre Abschreibung</t>
      </text>
    </comment>
    <comment ref="O18" authorId="3" shapeId="0" xr:uid="{13BB4885-F35F-DD43-8460-589FEF0D2F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Statt 10 Monate über 12 Monate abgeschrieben. Vereinfachen der Rechnung</t>
      </text>
    </comment>
    <comment ref="B20" authorId="4" shapeId="0" xr:uid="{E4849039-8428-AC4C-A88E-56DD2C64DBEC}">
      <text>
        <t>[Threaded comment]
Your version of Excel allows you to read this threaded comment; however, any edits to it will get removed if the file is opened in a newer version of Excel. Learn more: https://go.microsoft.com/fwlink/?linkid=870924
Comment:
    1% RSt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tc={A944FF07-6570-4C4F-9363-07966DF8CCDD}</author>
    <author>tc={8C771CA3-E858-AB47-835A-89543C45C373}</author>
    <author>tc={FCE4E133-EA6C-F045-8678-A1DBA8B7ADC0}</author>
  </authors>
  <commentList>
    <comment ref="D7" authorId="0" shapeId="0" xr:uid="{A944FF07-6570-4C4F-9363-07966DF8CCD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100.000 EUR EK-Finanzierung</t>
      </text>
    </comment>
    <comment ref="I7" authorId="1" shapeId="0" xr:uid="{8C771CA3-E858-AB47-835A-89543C45C373}">
      <text>
        <t>[Threaded comment]
Your version of Excel allows you to read this threaded comment; however, any edits to it will get removed if the file is opened in a newer version of Excel. Learn more: https://go.microsoft.com/fwlink/?linkid=870924
Comment:
    EXIST Sachmittel</t>
      </text>
    </comment>
    <comment ref="S7" authorId="2" shapeId="0" xr:uid="{FCE4E133-EA6C-F045-8678-A1DBA8B7ADC0}">
      <text>
        <t>[Threaded comment]
Your version of Excel allows you to read this threaded comment; however, any edits to it will get removed if the file is opened in a newer version of Excel. Learn more: https://go.microsoft.com/fwlink/?linkid=870924
Comment:
    KFW Gründungskredit
1 Jahr Tilgungsfrei
Laufzeit Rückzahlung 4 Jahre
4.5%  p.A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<sst xmlns="http://schemas.openxmlformats.org/spreadsheetml/2006/main" count="476" uniqueCount="300">
  <si>
    <t>Umsatzerlöse</t>
  </si>
  <si>
    <t>Sonstige Erträge</t>
  </si>
  <si>
    <t>Summe Erträge</t>
  </si>
  <si>
    <t>Personal</t>
  </si>
  <si>
    <t>Zinserträge</t>
  </si>
  <si>
    <t>Jahresüberschuss</t>
  </si>
  <si>
    <t>Steuern</t>
  </si>
  <si>
    <t>+ Abschreibungen</t>
  </si>
  <si>
    <t>+ Zuführung zu Rückstellungen</t>
  </si>
  <si>
    <t>- Investitionen</t>
  </si>
  <si>
    <t>Management</t>
  </si>
  <si>
    <t>Sonstige</t>
  </si>
  <si>
    <t>Anlagevermögen</t>
  </si>
  <si>
    <t>Grundstücke und Gebäude</t>
  </si>
  <si>
    <t>Maschinen</t>
  </si>
  <si>
    <t>Fuhrpark</t>
  </si>
  <si>
    <t>Büroausstattung</t>
  </si>
  <si>
    <t>Summe Anlagevermögen</t>
  </si>
  <si>
    <t>Umlaufvermögen</t>
  </si>
  <si>
    <t>Forderungen</t>
  </si>
  <si>
    <t>Vorräte und Lager</t>
  </si>
  <si>
    <t>Flüssige Mittel</t>
  </si>
  <si>
    <t>Summe Umlaufvermögen</t>
  </si>
  <si>
    <t>Bilanzsumme</t>
  </si>
  <si>
    <t>Eigenkapital</t>
  </si>
  <si>
    <t>Stammkapital/Einzahlungen</t>
  </si>
  <si>
    <t>Rücklagen (aus Jahresüberschuss)</t>
  </si>
  <si>
    <t>Gewinn</t>
  </si>
  <si>
    <t>Summe Eigenkapital</t>
  </si>
  <si>
    <t>Verbindlichkeiten</t>
  </si>
  <si>
    <t>Langfristige Verbindlichkeiten</t>
  </si>
  <si>
    <t>Darlehen</t>
  </si>
  <si>
    <t>Hypotheken</t>
  </si>
  <si>
    <t>Sonstige Verbindlichkeiten</t>
  </si>
  <si>
    <t>Summe langfristige Verbindlichkeiten</t>
  </si>
  <si>
    <t>Kurzfristige Verbindlichkeiten</t>
  </si>
  <si>
    <t>Verbindlichkeiten (Kreditoren)</t>
  </si>
  <si>
    <t>Kontokorrentkredit</t>
  </si>
  <si>
    <t>Summe kurzfristige Verbindlichkeiten</t>
  </si>
  <si>
    <t>Summe Verbindlichkeiten</t>
  </si>
  <si>
    <t>IHK/ HWK</t>
  </si>
  <si>
    <t>Patent</t>
  </si>
  <si>
    <t>EBITDA</t>
  </si>
  <si>
    <t>Umsatz</t>
  </si>
  <si>
    <t>4 - Breakeven</t>
  </si>
  <si>
    <t>Marketing</t>
  </si>
  <si>
    <t>Service</t>
  </si>
  <si>
    <t>Einzahlungen</t>
  </si>
  <si>
    <t>Finanzierung</t>
  </si>
  <si>
    <t>Auszahlungen</t>
  </si>
  <si>
    <t>Wareneinkauf</t>
  </si>
  <si>
    <t>Betrieb und Verwaltung</t>
  </si>
  <si>
    <t>Investitionen</t>
  </si>
  <si>
    <t>Zins/Tilgung</t>
  </si>
  <si>
    <t>Kasse</t>
  </si>
  <si>
    <t>Dispo/Kreditlinie</t>
  </si>
  <si>
    <t>Liquiditätsreserve</t>
  </si>
  <si>
    <t xml:space="preserve"> </t>
  </si>
  <si>
    <t xml:space="preserve">Professur für Entrepreneurship und Management </t>
  </si>
  <si>
    <t>Prof. Dr. Christian Schwens</t>
  </si>
  <si>
    <t>Judith Meder, M.Sc.</t>
  </si>
  <si>
    <t>meder@wiso.uni-koeln.de</t>
  </si>
  <si>
    <t>Bachelorseminar Businessplan</t>
  </si>
  <si>
    <t>Click to navigate</t>
  </si>
  <si>
    <t>Margin Per Unit</t>
  </si>
  <si>
    <t>COGS Per Unit</t>
  </si>
  <si>
    <t>Sales Price Per Unit</t>
  </si>
  <si>
    <t xml:space="preserve">Die Annahmen werden in die grün markierten Felder eingetragen </t>
  </si>
  <si>
    <t>Übersicht</t>
  </si>
  <si>
    <t>Investitions- und Personalplanung</t>
  </si>
  <si>
    <t>GuV - Cashflow</t>
  </si>
  <si>
    <t>Break-Even</t>
  </si>
  <si>
    <t>Liquiditätsplanung</t>
  </si>
  <si>
    <t>Kapitalbedarfsplanung</t>
  </si>
  <si>
    <t>Bilanz</t>
  </si>
  <si>
    <t>Produkt- und Absatzplanung</t>
  </si>
  <si>
    <t>1 - Produkt- und Absatzplanung</t>
  </si>
  <si>
    <t>Umsatzprognose</t>
  </si>
  <si>
    <t>Monatliche Wachstumsrate</t>
  </si>
  <si>
    <t>Produktlinien</t>
  </si>
  <si>
    <t>Verkaufte Einheiten</t>
  </si>
  <si>
    <t>Gesamtumsatz</t>
  </si>
  <si>
    <t>Gesamtmarge</t>
  </si>
  <si>
    <t>Gesamte Marge</t>
  </si>
  <si>
    <t>Gesamte COGS</t>
  </si>
  <si>
    <t>COGS = Cost of Goods Sold = Kosten der verkauften Waren</t>
  </si>
  <si>
    <t>Gesamtzahl verkaufte Einheiten</t>
  </si>
  <si>
    <t>Hellgrün bedeutet, dass die Annahme bereits eingetragen ist</t>
  </si>
  <si>
    <t>Jan J1</t>
  </si>
  <si>
    <t>Feb J1</t>
  </si>
  <si>
    <t>Mär J1</t>
  </si>
  <si>
    <t>Apr J1</t>
  </si>
  <si>
    <t>Mai J1</t>
  </si>
  <si>
    <t>Jun J1</t>
  </si>
  <si>
    <t>Jul J1</t>
  </si>
  <si>
    <t>Aug J1</t>
  </si>
  <si>
    <t>Sep J1</t>
  </si>
  <si>
    <t>Okt J1</t>
  </si>
  <si>
    <t>Nov J1</t>
  </si>
  <si>
    <t>Dez J1</t>
  </si>
  <si>
    <t>Jahr 1</t>
  </si>
  <si>
    <t>Q1 J2</t>
  </si>
  <si>
    <t>Q2 J2</t>
  </si>
  <si>
    <t>Q3 J2</t>
  </si>
  <si>
    <t>Q4 J2</t>
  </si>
  <si>
    <t>Jahr 2</t>
  </si>
  <si>
    <t>Q1 J3</t>
  </si>
  <si>
    <t>Q2 J3</t>
  </si>
  <si>
    <t>Q3 J3</t>
  </si>
  <si>
    <t>Q4 J3</t>
  </si>
  <si>
    <t>Jahr 3</t>
  </si>
  <si>
    <t>2 - Investitions- und Personalplanung</t>
  </si>
  <si>
    <t>3 - Gewinn- und Verlustrechnung</t>
  </si>
  <si>
    <t>Erträge</t>
  </si>
  <si>
    <t>Weitere Position</t>
  </si>
  <si>
    <t>Aufwendungen</t>
  </si>
  <si>
    <t>Personalkosten</t>
  </si>
  <si>
    <t>Kosten der verkauften Waren (COGS)</t>
  </si>
  <si>
    <t>Abschreibungen und Amortisationen</t>
  </si>
  <si>
    <t>Sonstige betriebliche Aufwendungen</t>
  </si>
  <si>
    <t>Summe Aufwendungen</t>
  </si>
  <si>
    <t>Operativer Gewinn (EBIT)</t>
  </si>
  <si>
    <t>Zinsaufwendungen</t>
  </si>
  <si>
    <t>Einstellung in Rücklagen</t>
  </si>
  <si>
    <t>Gewinn/Verlust nach Rücklagen</t>
  </si>
  <si>
    <t>Geplanter Cashflow</t>
  </si>
  <si>
    <t>= Cashflow</t>
  </si>
  <si>
    <t>Schritte zur Unternehmensgründung</t>
  </si>
  <si>
    <t>Gewerbeanmeldung</t>
  </si>
  <si>
    <t>Bankkonto</t>
  </si>
  <si>
    <t>Finanzamt informieren</t>
  </si>
  <si>
    <t>Berufsverband informieren</t>
  </si>
  <si>
    <t>Eintragung Handelsregister</t>
  </si>
  <si>
    <t>Gesamtkosten für die Unternehmensgründung</t>
  </si>
  <si>
    <t>IT-Schritte</t>
  </si>
  <si>
    <t>Website-Entwicklung</t>
  </si>
  <si>
    <t>IT-Ausstattung</t>
  </si>
  <si>
    <t>Gesamte IT-Kosten</t>
  </si>
  <si>
    <t>Regulatorische Registrierungen</t>
  </si>
  <si>
    <t>Markenregistrierung</t>
  </si>
  <si>
    <t>Gesamte produktbezogene Kosten</t>
  </si>
  <si>
    <t>Gesamtkosten:</t>
  </si>
  <si>
    <t>Laufende Kosten</t>
  </si>
  <si>
    <t>Büro und Verwaltung</t>
  </si>
  <si>
    <t>Miete oder Leasing</t>
  </si>
  <si>
    <t>Nebenkosten (Strom, Wasser, Heizung)</t>
  </si>
  <si>
    <t>Gesamte Büro- und Verwaltungskosten</t>
  </si>
  <si>
    <t>Technologie und Infrastruktur</t>
  </si>
  <si>
    <t>Internetdienste</t>
  </si>
  <si>
    <t>Website-Hosting und Software</t>
  </si>
  <si>
    <t>Gesamte Technologie- und Infrastrukturkosten</t>
  </si>
  <si>
    <t>Personalplanung</t>
  </si>
  <si>
    <t>Planungszeitraum</t>
  </si>
  <si>
    <t>Geschäftsführer (CEO)</t>
  </si>
  <si>
    <t>Finanzvorstand (CFO)</t>
  </si>
  <si>
    <t>Technikvorstand (CTO)</t>
  </si>
  <si>
    <t>Betriebsleiter (COO)</t>
  </si>
  <si>
    <t>Gesamt</t>
  </si>
  <si>
    <t>Forschung &amp; Entwicklung</t>
  </si>
  <si>
    <t>Ingenieure</t>
  </si>
  <si>
    <t>Techniker</t>
  </si>
  <si>
    <t>Assistenten</t>
  </si>
  <si>
    <t>Produktion &amp; Herstellung</t>
  </si>
  <si>
    <t>Beschaffung</t>
  </si>
  <si>
    <t>Fertigung</t>
  </si>
  <si>
    <t>Logistik</t>
  </si>
  <si>
    <t>Marketing &amp; Vertrieb</t>
  </si>
  <si>
    <t>Vertrieb (CEO)</t>
  </si>
  <si>
    <t>Verwaltung</t>
  </si>
  <si>
    <t>Buchhaltung</t>
  </si>
  <si>
    <t>Sekretariat</t>
  </si>
  <si>
    <t>Auszubildende und Praktikanten</t>
  </si>
  <si>
    <t>Werkstudent</t>
  </si>
  <si>
    <t>Gesamte Personalkosten:</t>
  </si>
  <si>
    <t>Mitarbeiter</t>
  </si>
  <si>
    <t>Lohn-</t>
  </si>
  <si>
    <t>nebenkosten</t>
  </si>
  <si>
    <t>Anzahl</t>
  </si>
  <si>
    <t>Personal-</t>
  </si>
  <si>
    <t>kosten</t>
  </si>
  <si>
    <t xml:space="preserve"> Breakeven-Analyse</t>
  </si>
  <si>
    <t>5 - Liquiditätsplanung</t>
  </si>
  <si>
    <t>Finanzierungsquellen</t>
  </si>
  <si>
    <t>Eigenkapital des Eigentümers</t>
  </si>
  <si>
    <t>Zusätzliche Kredite oder Schulden</t>
  </si>
  <si>
    <t>Geschäftskredit</t>
  </si>
  <si>
    <t>Gewerbliche Hypothek</t>
  </si>
  <si>
    <t>Kreditkartenschulden</t>
  </si>
  <si>
    <t>Fahrzeugkredite</t>
  </si>
  <si>
    <t>Sonstige Bankschulden</t>
  </si>
  <si>
    <t>Gesamte Finanzierungsquellen</t>
  </si>
  <si>
    <t>Prozentsatz</t>
  </si>
  <si>
    <t>Gesamtbeträge</t>
  </si>
  <si>
    <t>Kreditzins</t>
  </si>
  <si>
    <t>Laufzeit in Monaten</t>
  </si>
  <si>
    <t>Monatliche Zahlungen</t>
  </si>
  <si>
    <t>Anmerkungen</t>
  </si>
  <si>
    <t>7 - Bilanz</t>
  </si>
  <si>
    <t>Geplante Bilanz</t>
  </si>
  <si>
    <t>Passiva und Eigenkapital</t>
  </si>
  <si>
    <t>Aktiva</t>
  </si>
  <si>
    <t>Immaterielles Vermögen (gekaufte Software, Rechte, Lizenzen)</t>
  </si>
  <si>
    <t>6 - Kapitalbedarfsplanung</t>
  </si>
  <si>
    <r>
      <rPr>
        <b/>
        <sz val="12"/>
        <color rgb="FF005176"/>
        <rFont val="Arial"/>
        <family val="2"/>
      </rPr>
      <t>Nutzung der Finanzplan-Excel</t>
    </r>
    <r>
      <rPr>
        <sz val="12"/>
        <color rgb="FF005176"/>
        <rFont val="Arial"/>
        <family val="2"/>
      </rPr>
      <t xml:space="preserve">
Diese Excel-Datei bietet ein vorgefertigtes Layout, an dessen grundsätzlichem Aufbau Sie sich orientieren sollten, um Ihren Finanzplan zu erstellen. Die Registerkarten sind teilweise mit Beispielpositionen und -werten gefüllt, um Ihnen ein Gefühl für die Struktur zu vermitteln. Diese Zahlen sind jedoch nur exemplarisch – </t>
    </r>
    <r>
      <rPr>
        <b/>
        <sz val="12"/>
        <color rgb="FF005176"/>
        <rFont val="Arial"/>
        <family val="2"/>
      </rPr>
      <t>Sie müssen die passenden Werte und Positionen für Ihre eigene Geschäftsidee selbst recherchieren und eintragen. Bitte erläutern Sie die Annahmen sowie die Berechnungsgrundlagen im Text.</t>
    </r>
    <r>
      <rPr>
        <sz val="12"/>
        <color rgb="FF005176"/>
        <rFont val="Arial"/>
        <family val="2"/>
      </rPr>
      <t xml:space="preserve">
Hinweise:
Produktions- und Absatzplanung: Diese Sektion ist für ein generisches Unternehmen konzipiert. Sie sollten hier Ihre eigene Berechnungsgrundlage für die Produkt- und Absatzplanung entwickeln, die zu Ihrem spezifischen Geschäftsmodell passt.
Eine Verknüpfung zwischen dem Reiter Investitions- und Personalplanung und der Gewinn- und Verlustrechnung (GuV) ist bereits als Beispiel angelegt. Nutzen Sie dieses Beispiel als Vorlage, um eigene Verknüpfungen zwischen den verschiedenen Tabellenblättern zu erstellen.</t>
    </r>
  </si>
  <si>
    <t>EBITDA = Gewinn vor Zinsen, Steuern, Abschreibungen auf Sachanlagen und Abschreibungen auf immaterielle Vermögensgegenstände</t>
  </si>
  <si>
    <t>Startaufwendungen</t>
  </si>
  <si>
    <r>
      <t xml:space="preserve">Gesamte Finanzierungsquellen </t>
    </r>
    <r>
      <rPr>
        <sz val="12"/>
        <color theme="1"/>
        <rFont val="Arial"/>
        <family val="2"/>
      </rPr>
      <t>müssen der Startaufwendungen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entsprechen</t>
    </r>
  </si>
  <si>
    <t>Akerlof (1970) für Informationsasymmetrie und Qualitätsunsicherheit im Markt. Das ist deine Basis für die Geld-zurück-Garantie.</t>
  </si>
  <si>
    <t>Moorthy &amp; Srinivasan (1995) für die Garantie als Qualitätssignal.</t>
  </si>
  <si>
    <t>SaaS-Benchmarks 2025/2026 für die Conversion-Annahme im Finanzplan, vor allem die Werte zu Trial-to-Paid und die Einordnung nach B2B-Komplexität.</t>
  </si>
  <si>
    <t>Customer success / onboarding als Begründung, warum persönliche Einführung die Bindung erhöht und frühe Abwanderung senkt.</t>
  </si>
  <si>
    <t>Starter</t>
  </si>
  <si>
    <t>Pro</t>
  </si>
  <si>
    <t>Elite</t>
  </si>
  <si>
    <t>„In Phase 1 basiert der BetterSquad-Pod auf dem Wio-WM1110-Modul (Seeedstudio, Art.-Nr. 114992865), das Nordic nRF52840 (BLE 5.3, ANT) und Semtech LR1110 (GNSS) integriert. Der Polar H10 überträgt Herzfrequenz und HRV via Standard-BLE Heart Rate Profile, das der nRF52840 nativ unterstützt. Ein zusätzlicher Bosch BMI270 IMU wird per I2C für die Asymmetrie-Erkennung angebunden. Ab Phase 2 (Monat 14) wird eine vollständig eigenentwickelte Platine gefertigt."</t>
  </si>
  <si>
    <t>Subscription</t>
  </si>
  <si>
    <t xml:space="preserve">Aktive Vereine </t>
  </si>
  <si>
    <t>Bauteil</t>
  </si>
  <si>
    <t>Preis</t>
  </si>
  <si>
    <t>Starter (18/36)</t>
  </si>
  <si>
    <t>Pro (25/50)</t>
  </si>
  <si>
    <t>Elite (35/70)</t>
  </si>
  <si>
    <t>GPS-Pod WM1110</t>
  </si>
  <si>
    <t>Polar H10 Bulk</t>
  </si>
  <si>
    <t>Ersatzbänder</t>
  </si>
  <si>
    <t>Dockingstation</t>
  </si>
  <si>
    <t>COGS gesamt</t>
  </si>
  <si>
    <t>Anzahlung</t>
  </si>
  <si>
    <t>Marge</t>
  </si>
  <si>
    <t xml:space="preserve">Hardware </t>
  </si>
  <si>
    <t>Softwarelizenz/Monatliche Kosten</t>
  </si>
  <si>
    <t>Kostenart</t>
  </si>
  <si>
    <t>Kosten/Monat/Verein</t>
  </si>
  <si>
    <t>AWS/Google Cloud Hosting</t>
  </si>
  <si>
    <t>~8€</t>
  </si>
  <si>
    <t>Polar API-Lizenz</t>
  </si>
  <si>
    <t>~5€</t>
  </si>
  <si>
    <t>Datenbank/Storage</t>
  </si>
  <si>
    <t>~4€</t>
  </si>
  <si>
    <t>„Die monatliche Softwarerate weist eine Bruttomarge von ~95% auf, da die variablen Kosten pro Verein (Cloud-Hosting, API) auf ca. 17€/Monat begrenzt sind. Dies entspricht dem SaaS-Branchenstandard (SaaS Capital 2025) und ist der zentrale Hebel für die Profitabilität in Jahr 3."</t>
  </si>
  <si>
    <t>Subscription(monatlich)</t>
  </si>
  <si>
    <t>Marketing (CMO)</t>
  </si>
  <si>
    <t>Wasserman (2012): Gründer die in der Frühphase auf Vergütung verzichten signalisieren "Skin in the Game" gegenüber Investoren und Banken – das stärkt die Kreditwürdigkeit erheblich.</t>
  </si>
  <si>
    <t>Sweat Equity begründen (Hellmann &amp; Puri, 2002): Technische Gründer ersetzen externe Entwicklungskosten durch Eigenleistung, was den Kapitalbedarf in der Seed-Phase signifikant senkt.</t>
  </si>
  <si>
    <t>Cialdini (1984) — Commitment &amp; Consistency: Wer sich einmal committet (auch vertraglich für später), hält daran fest. Die Vereine investieren Zeit und Gewöhnung ins System → Wechselkosten steigen.</t>
  </si>
  <si>
    <t>Shapiro &amp; Varian (1999) — Information Rules: Lock-in durch frühes Onboarding ist die stärkste Kundenbindungsstrategie bei datengetriebenen Produkten — eure Vereine haben nach einem Jahr bereits ihre kompletten Spielerdaten im System.</t>
  </si>
  <si>
    <t>Pilotphase J1</t>
  </si>
  <si>
    <t>Logische Wachstumskurve — wissenschaftlich begründet durch Bass Diffusion Model (1969):</t>
  </si>
  <si>
    <t>Jahr 4</t>
  </si>
  <si>
    <t>Q1 J4</t>
  </si>
  <si>
    <t>Q2 J4</t>
  </si>
  <si>
    <t>Q3 J4</t>
  </si>
  <si>
    <t>Q4 J4</t>
  </si>
  <si>
    <t>Euer SOM nach 4 Jahren:</t>
  </si>
  <si>
    <r>
      <t xml:space="preserve">110 Vereine von 500 = </t>
    </r>
    <r>
      <rPr>
        <b/>
        <sz val="12"/>
        <color theme="1"/>
        <rFont val="Aptos Narrow"/>
        <family val="2"/>
        <scheme val="minor"/>
      </rPr>
      <t>22% Marktdurchdringung</t>
    </r>
  </si>
  <si>
    <r>
      <t xml:space="preserve">Das ist mit </t>
    </r>
    <r>
      <rPr>
        <b/>
        <sz val="12"/>
        <color theme="1"/>
        <rFont val="Aptos Narrow"/>
        <family val="2"/>
        <scheme val="minor"/>
      </rPr>
      <t>Rogers Diffusion Curve (2003)</t>
    </r>
    <r>
      <rPr>
        <sz val="12"/>
        <color theme="1"/>
        <rFont val="Aptos Narrow"/>
        <family val="2"/>
        <scheme val="minor"/>
      </rPr>
      <t xml:space="preserve"> perfekt begründbar — Early Adopters + Early Majority = 34% in den ersten 4 Jahren. 22% ist konservativ und glaubwürdig.</t>
    </r>
  </si>
  <si>
    <t>Im deutschen Ligasystem spielen 31.645 Mannschaften in 2.235 Ligen. Davon ist eure Zielgruppe: Beglaubigt</t>
  </si>
  <si>
    <t>Liga</t>
  </si>
  <si>
    <t>Männer</t>
  </si>
  <si>
    <t>Frauen</t>
  </si>
  <si>
    <t>Regionalliga (5 Staffeln à 18)</t>
  </si>
  <si>
    <t>Oberliga (12 Staffeln à 16)</t>
  </si>
  <si>
    <t>Verbandsliga/Landesliga</t>
  </si>
  <si>
    <t>~800</t>
  </si>
  <si>
    <t>~400</t>
  </si>
  <si>
    <t>~1.200</t>
  </si>
  <si>
    <t>Österreich + Schweiz (+20%)</t>
  </si>
  <si>
    <t>~340</t>
  </si>
  <si>
    <t>TAM gesamt</t>
  </si>
  <si>
    <t>~2.054</t>
  </si>
  <si>
    <t>Euer realistischer Zielmarkt (SAM):</t>
  </si>
  <si>
    <r>
      <t xml:space="preserve">Nur ambitionierte Vereine mit Budget — erfahrungsgemäß </t>
    </r>
    <r>
      <rPr>
        <b/>
        <sz val="12"/>
        <color theme="1"/>
        <rFont val="Aptos Narrow"/>
        <family val="2"/>
        <scheme val="minor"/>
      </rPr>
      <t>obere 25%</t>
    </r>
    <r>
      <rPr>
        <sz val="12"/>
        <color theme="1"/>
        <rFont val="Aptos Narrow"/>
        <family val="2"/>
        <scheme val="minor"/>
      </rPr>
      <t xml:space="preserve"> der Amateurligen:</t>
    </r>
  </si>
  <si>
    <t>SAM = ~500 Vereine im DACH-Raum</t>
  </si>
  <si>
    <t>App-Entwicklung Frontend</t>
  </si>
  <si>
    <t>App-Entwicklung Backend</t>
  </si>
  <si>
    <t>Gehaltssteigerung Jahr 2–4Hellmann &amp; Puri (2002), Journal of Finance — Professionalisierung der Vergütung korreliert mit Wachstumsphasen</t>
  </si>
  <si>
    <t>Tunguz (2015) "Winning with Data" — B2B-SaaS mit dediziertem Onboarding zeigt typischerweise 10–15% jährlichen Churn. Da BetterSquad Hardware-Lock-in hat (Daten im System, Geräte vor Ort), ist 10% konservativ realistisch und für Investoren glaubwürdig.</t>
  </si>
  <si>
    <r>
      <t>Reichheld &amp; Schefter (2000, HBR)</t>
    </r>
    <r>
      <rPr>
        <sz val="12"/>
        <color theme="1"/>
        <rFont val="Aptos Narrow"/>
        <family val="2"/>
        <scheme val="minor"/>
      </rPr>
      <t xml:space="preserve"> — B2B-SaaS zeigt nach erstem Vertragszyklus 70–80% Renewal Rate. 30% Churn am oberen Rand ist realistisch für Hardware-SaaS weil:</t>
    </r>
  </si>
  <si>
    <t>Budgetdruck bei Amateurvereinen nach 2 Jahren</t>
  </si>
  <si>
    <t>Neue Konkurrenzprodukte könnten am Markt sein</t>
  </si>
  <si>
    <t>Vereinsvorstände wechseln — neuer Entscheider hinterfragt Kosten</t>
  </si>
  <si>
    <t>check:</t>
  </si>
  <si>
    <t>EK</t>
  </si>
  <si>
    <t>Start Pilotprojekt</t>
  </si>
  <si>
    <t>Abschreibung Hardware</t>
  </si>
  <si>
    <t xml:space="preserve">Amortisation App </t>
  </si>
  <si>
    <t>Gewährleistungsrückstellung</t>
  </si>
  <si>
    <t>https://www.haufe.de/id/kommentar/gewaehrleistungsrueckstellung-darf-den-pauschalsatz-von-05-uebersteigen-HI1202489.html</t>
  </si>
  <si>
    <t>Rst Quelle</t>
  </si>
  <si>
    <t>https://www.haufe.de/finance/buchfuehrung-kontierung/garantierueckstellung-praxisfall/berechnungsmethode_186_141914.html</t>
  </si>
  <si>
    <t>Begründung für die Excel-Zahlen: "Da BetterSquad in Phase 1 OEM-Hardware (GPS-Tracker, Ladedocks) unter starker mechanischer Belastung im Amateurfußball einsetzt, kalkulieren wir in der GuV und Cashflow-Planung betriebswirtschaftlich mit einer Hardware-Ersatz- bzw. Ausfallquote von 10%. Dies sichert die Liquidität für reibungslose Hardware-Austausche (Ersatzgeräte) bei den Pilotvereinen."</t>
  </si>
  <si>
    <t>Hinweis zur Steuerbilanz (als Randnotiz im Text): "Es wird zur Kenntnis genommen, dass steuerrechtlich (mangels eigener Vergangenheitswerte) im ersten Jahr in der Regel nur der BFH-Pauschalsatz von 0,5% des Gewährleistungsumsatzes gewinnmindernd anerkannt wird. Für den Businessplan und die Sicherung der operativen Liquidität wurde jedoch nach dem Vorsichtsprinzip (§ 252 HGB) die höhere, realistische Schadensquote angesetzt."</t>
  </si>
  <si>
    <t>Notar + Gesellschaftsvertrag</t>
  </si>
  <si>
    <t>Cloud-Infrastruktur</t>
  </si>
  <si>
    <t>Software &amp; Collaboration Tools (GitHub, Figma, Notion, Google Workspace)</t>
  </si>
  <si>
    <t>Tilgungsrate für KFW Kredit:</t>
  </si>
  <si>
    <t>4 Jahre / 16 Quartale abbezahlen</t>
  </si>
  <si>
    <t>Zins für Quartale vor Tilgung</t>
  </si>
  <si>
    <t>Externe Investoren/Stipendien</t>
  </si>
  <si>
    <t>EXIST Sachmittel Förderung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</si>
</sst>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\ &quot;€&quot;;[Red]\-#,##0\ &quot;€&quot;"/>
    <numFmt numFmtId="165" formatCode="_-* #,##0.00\ &quot;€&quot;_-;\-* #,##0.00\ &quot;€&quot;_-;_-* &quot;-&quot;??\ &quot;€&quot;_-;_-@_-"/>
    <numFmt numFmtId="166" formatCode="#,##0_ ;[Red]\-#,##0\ "/>
    <numFmt numFmtId="167" formatCode="#,##0.0"/>
    <numFmt numFmtId="168" formatCode="#,##0.0\ &quot;T€&quot;;\-#,##0.0\ &quot;T€&quot;"/>
    <numFmt numFmtId="169" formatCode="#,##0\ [$€-407]"/>
    <numFmt numFmtId="170" formatCode="#,##0.00\ &quot;€&quot;"/>
    <numFmt numFmtId="171" formatCode="0.0%"/>
    <numFmt numFmtId="172" formatCode="_(* #,##0_);_(* \(#,##0\);_(* &quot;-&quot;??_);_(@_)"/>
    <numFmt numFmtId="173" formatCode="#,##0.00\ [$€-407]"/>
    <numFmt numFmtId="174" formatCode="#,##0\ [$€-407];\-#,##0\ [$€-407]"/>
    <numFmt numFmtId="175" formatCode="#,##0\ [$€-1];[Red]\-#,##0\ [$€-1]"/>
    <numFmt numFmtId="176" formatCode="#,##0.00\ [$€-1];[Red]\-#,##0.00\ [$€-1]"/>
    <numFmt numFmtId="177" formatCode="#,##0.00\ [$€-1]_);[Red]\(#,##0.00\ [$€-1]\)"/>
    <numFmt numFmtId="178" formatCode="#.##000;\(#.##000\);&quot;-&quot;"/>
    <numFmt numFmtId="179" formatCode="#,##0;\(#,##0\);&quot;-&quot;"/>
    <numFmt numFmtId="180" formatCode="#,##0\ \€;\(#,##0\ \€\);&quot;-&quot;"/>
    <numFmt numFmtId="181" formatCode="#,##0\ \€;[Red]\(#,##0\ \€\);&quot;-&quot;"/>
  </numFmts>
  <fonts count="52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b/>
      <sz val="26"/>
      <color rgb="FF85BC21"/>
      <name val="Arial"/>
      <family val="2"/>
    </font>
    <font>
      <sz val="12"/>
      <color theme="1"/>
      <name val="Calibri (Textkörper)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theme="10"/>
      <name val="Arial"/>
      <family val="2"/>
    </font>
    <font>
      <b/>
      <sz val="24"/>
      <color rgb="FF85BC21"/>
      <name val="Arial"/>
      <family val="2"/>
    </font>
    <font>
      <sz val="14"/>
      <color theme="1"/>
      <name val="Arial"/>
      <family val="2"/>
    </font>
    <font>
      <b/>
      <sz val="26"/>
      <color theme="5"/>
      <name val="Arial"/>
      <family val="2"/>
    </font>
    <font>
      <u/>
      <sz val="12"/>
      <color theme="1"/>
      <name val="Arial"/>
      <family val="2"/>
    </font>
    <font>
      <sz val="16"/>
      <color theme="1"/>
      <name val="Arial"/>
      <family val="2"/>
    </font>
    <font>
      <sz val="12"/>
      <color theme="0"/>
      <name val="Arial"/>
      <family val="2"/>
    </font>
    <font>
      <b/>
      <sz val="36"/>
      <color theme="0"/>
      <name val="Arial"/>
      <family val="2"/>
    </font>
    <font>
      <b/>
      <sz val="26"/>
      <color theme="0"/>
      <name val="Arial"/>
      <family val="2"/>
    </font>
    <font>
      <sz val="16"/>
      <color theme="0"/>
      <name val="Arial"/>
      <family val="2"/>
    </font>
    <font>
      <b/>
      <sz val="20"/>
      <color theme="0"/>
      <name val="Arial"/>
      <family val="2"/>
    </font>
    <font>
      <b/>
      <sz val="18"/>
      <color theme="0"/>
      <name val="Arial"/>
      <family val="2"/>
    </font>
    <font>
      <b/>
      <u/>
      <sz val="18"/>
      <color theme="0"/>
      <name val="Arial"/>
      <family val="2"/>
    </font>
    <font>
      <b/>
      <sz val="28"/>
      <color theme="0"/>
      <name val="Arial"/>
      <family val="2"/>
    </font>
    <font>
      <sz val="12"/>
      <color rgb="FF000000"/>
      <name val="Aptos Narrow"/>
      <family val="2"/>
      <scheme val="minor"/>
    </font>
    <font>
      <sz val="12"/>
      <color rgb="FF005176"/>
      <name val="Arial"/>
      <family val="2"/>
    </font>
    <font>
      <b/>
      <sz val="12"/>
      <color rgb="FF005176"/>
      <name val="Arial"/>
      <family val="2"/>
    </font>
    <font>
      <b/>
      <sz val="14"/>
      <color rgb="FF005176"/>
      <name val="Arial"/>
      <family val="2"/>
    </font>
    <font>
      <sz val="11"/>
      <color theme="1"/>
      <name val="Aptos Narrow"/>
      <family val="2"/>
      <scheme val="minor"/>
    </font>
    <font>
      <b/>
      <sz val="9"/>
      <name val="Gill Sans MT"/>
      <family val="2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theme="3"/>
      <name val="Arial"/>
      <family val="2"/>
    </font>
    <font>
      <b/>
      <sz val="12"/>
      <color rgb="FF85BC21"/>
      <name val="Arial"/>
      <family val="2"/>
    </font>
    <font>
      <b/>
      <sz val="12"/>
      <color theme="1"/>
      <name val="Aptos Narrow"/>
      <family val="2"/>
      <scheme val="minor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b/>
      <i/>
      <sz val="12"/>
      <name val="Arial"/>
      <family val="2"/>
    </font>
    <font>
      <sz val="12"/>
      <color rgb="FF27251E"/>
      <name val="Helvetica Neue"/>
      <family val="2"/>
    </font>
    <font>
      <b/>
      <i/>
      <sz val="16"/>
      <color theme="1"/>
      <name val="Aptos Narrow"/>
      <scheme val="minor"/>
    </font>
    <font>
      <b/>
      <i/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rgb="FF85BC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ACC9E"/>
        <bgColor indexed="64"/>
      </patternFill>
    </fill>
    <fill>
      <patternFill patternType="solid">
        <fgColor rgb="FFD5E4B9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/>
      </bottom>
      <diagonal/>
    </border>
  </borders>
  <cellStyleXfs count="8">
    <xf numFmtId="0" fontId="0" fillId="0" borderId="0"/>
    <xf numFmtId="0" fontId="18" fillId="0" borderId="0" applyNumberFormat="0" applyFill="0" applyBorder="0" applyAlignment="0" applyProtection="0"/>
    <xf numFmtId="0" fontId="37" fillId="0" borderId="0"/>
    <xf numFmtId="43" fontId="39" fillId="0" borderId="0" applyFont="0" applyFill="0" applyBorder="0" applyAlignment="0" applyProtection="0"/>
    <xf numFmtId="49" fontId="38" fillId="8" borderId="3" applyProtection="0">
      <alignment wrapText="1"/>
    </xf>
    <xf numFmtId="0" fontId="40" fillId="0" borderId="0" applyNumberFormat="0" applyFill="0" applyBorder="0" applyAlignment="0" applyProtection="0"/>
    <xf numFmtId="9" fontId="39" fillId="0" borderId="0" applyFont="0" applyFill="0" applyBorder="0" applyAlignment="0" applyProtection="0"/>
    <xf numFmtId="44" fontId="39" fillId="0" borderId="0" applyFont="0" applyFill="0" applyBorder="0" applyAlignment="0" applyProtection="0"/>
  </cellStyleXfs>
  <cellXfs count="3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3" xfId="0" applyFont="1" applyBorder="1"/>
    <xf numFmtId="0" fontId="2" fillId="2" borderId="3" xfId="0" applyFont="1" applyFill="1" applyBorder="1" applyProtection="1">
      <protection hidden="1"/>
    </xf>
    <xf numFmtId="0" fontId="2" fillId="0" borderId="5" xfId="0" applyFont="1" applyBorder="1"/>
    <xf numFmtId="0" fontId="1" fillId="0" borderId="5" xfId="0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5" xfId="0" applyNumberFormat="1" applyFont="1" applyBorder="1" applyProtection="1">
      <protection locked="0"/>
    </xf>
    <xf numFmtId="0" fontId="1" fillId="0" borderId="5" xfId="0" applyFont="1" applyBorder="1"/>
    <xf numFmtId="0" fontId="2" fillId="0" borderId="10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6" xfId="0" applyFont="1" applyBorder="1"/>
    <xf numFmtId="3" fontId="1" fillId="0" borderId="12" xfId="0" applyNumberFormat="1" applyFont="1" applyBorder="1" applyProtection="1">
      <protection locked="0"/>
    </xf>
    <xf numFmtId="3" fontId="1" fillId="0" borderId="10" xfId="0" applyNumberFormat="1" applyFont="1" applyBorder="1" applyProtection="1">
      <protection locked="0"/>
    </xf>
    <xf numFmtId="3" fontId="1" fillId="0" borderId="8" xfId="0" applyNumberFormat="1" applyFont="1" applyBorder="1" applyProtection="1">
      <protection locked="0"/>
    </xf>
    <xf numFmtId="0" fontId="1" fillId="0" borderId="9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14" xfId="0" applyFont="1" applyBorder="1" applyProtection="1">
      <protection locked="0"/>
    </xf>
    <xf numFmtId="0" fontId="2" fillId="0" borderId="1" xfId="0" applyFont="1" applyBorder="1"/>
    <xf numFmtId="0" fontId="2" fillId="0" borderId="3" xfId="0" applyFont="1" applyBorder="1" applyProtection="1">
      <protection locked="0"/>
    </xf>
    <xf numFmtId="0" fontId="2" fillId="3" borderId="3" xfId="0" applyFont="1" applyFill="1" applyBorder="1" applyProtection="1">
      <protection hidden="1"/>
    </xf>
    <xf numFmtId="0" fontId="1" fillId="0" borderId="1" xfId="0" applyFont="1" applyBorder="1" applyProtection="1">
      <protection locked="0"/>
    </xf>
    <xf numFmtId="3" fontId="1" fillId="0" borderId="3" xfId="0" applyNumberFormat="1" applyFont="1" applyBorder="1" applyProtection="1">
      <protection locked="0"/>
    </xf>
    <xf numFmtId="3" fontId="1" fillId="0" borderId="2" xfId="0" applyNumberFormat="1" applyFont="1" applyBorder="1" applyProtection="1">
      <protection locked="0"/>
    </xf>
    <xf numFmtId="166" fontId="2" fillId="3" borderId="2" xfId="0" applyNumberFormat="1" applyFont="1" applyFill="1" applyBorder="1" applyProtection="1">
      <protection hidden="1"/>
    </xf>
    <xf numFmtId="0" fontId="2" fillId="0" borderId="1" xfId="0" applyFont="1" applyBorder="1" applyProtection="1">
      <protection locked="0"/>
    </xf>
    <xf numFmtId="0" fontId="5" fillId="0" borderId="0" xfId="0" applyFont="1"/>
    <xf numFmtId="3" fontId="1" fillId="0" borderId="1" xfId="0" applyNumberFormat="1" applyFont="1" applyBorder="1" applyProtection="1">
      <protection locked="0"/>
    </xf>
    <xf numFmtId="3" fontId="1" fillId="0" borderId="4" xfId="0" applyNumberFormat="1" applyFont="1" applyBorder="1" applyProtection="1">
      <protection locked="0"/>
    </xf>
    <xf numFmtId="0" fontId="2" fillId="0" borderId="14" xfId="0" applyFont="1" applyBorder="1" applyProtection="1">
      <protection locked="0"/>
    </xf>
    <xf numFmtId="3" fontId="2" fillId="3" borderId="3" xfId="0" applyNumberFormat="1" applyFont="1" applyFill="1" applyBorder="1" applyProtection="1">
      <protection hidden="1"/>
    </xf>
    <xf numFmtId="3" fontId="2" fillId="3" borderId="2" xfId="0" applyNumberFormat="1" applyFont="1" applyFill="1" applyBorder="1" applyProtection="1">
      <protection hidden="1"/>
    </xf>
    <xf numFmtId="0" fontId="2" fillId="0" borderId="15" xfId="0" applyFont="1" applyBorder="1" applyProtection="1">
      <protection locked="0"/>
    </xf>
    <xf numFmtId="0" fontId="2" fillId="0" borderId="14" xfId="0" applyFont="1" applyBorder="1"/>
    <xf numFmtId="0" fontId="1" fillId="0" borderId="14" xfId="0" applyFont="1" applyBorder="1"/>
    <xf numFmtId="3" fontId="2" fillId="3" borderId="5" xfId="0" applyNumberFormat="1" applyFont="1" applyFill="1" applyBorder="1" applyProtection="1">
      <protection hidden="1"/>
    </xf>
    <xf numFmtId="3" fontId="2" fillId="3" borderId="0" xfId="0" applyNumberFormat="1" applyFont="1" applyFill="1" applyProtection="1">
      <protection hidden="1"/>
    </xf>
    <xf numFmtId="0" fontId="7" fillId="0" borderId="0" xfId="0" applyFont="1"/>
    <xf numFmtId="0" fontId="8" fillId="0" borderId="0" xfId="0" applyFont="1"/>
    <xf numFmtId="17" fontId="9" fillId="5" borderId="2" xfId="0" applyNumberFormat="1" applyFont="1" applyFill="1" applyBorder="1" applyAlignment="1">
      <alignment horizontal="center" vertical="center"/>
    </xf>
    <xf numFmtId="17" fontId="9" fillId="2" borderId="2" xfId="0" applyNumberFormat="1" applyFont="1" applyFill="1" applyBorder="1" applyAlignment="1">
      <alignment horizontal="center" vertical="center"/>
    </xf>
    <xf numFmtId="0" fontId="10" fillId="0" borderId="0" xfId="0" applyFont="1"/>
    <xf numFmtId="0" fontId="1" fillId="0" borderId="4" xfId="0" applyFont="1" applyBorder="1" applyProtection="1">
      <protection locked="0"/>
    </xf>
    <xf numFmtId="0" fontId="2" fillId="0" borderId="4" xfId="0" applyFont="1" applyBorder="1"/>
    <xf numFmtId="0" fontId="1" fillId="6" borderId="6" xfId="0" applyFont="1" applyFill="1" applyBorder="1" applyAlignment="1" applyProtection="1">
      <alignment horizontal="center"/>
      <protection locked="0"/>
    </xf>
    <xf numFmtId="0" fontId="2" fillId="6" borderId="5" xfId="0" applyFont="1" applyFill="1" applyBorder="1" applyProtection="1">
      <protection locked="0"/>
    </xf>
    <xf numFmtId="0" fontId="6" fillId="6" borderId="7" xfId="0" applyFont="1" applyFill="1" applyBorder="1" applyProtection="1">
      <protection locked="0"/>
    </xf>
    <xf numFmtId="0" fontId="2" fillId="6" borderId="10" xfId="0" applyFont="1" applyFill="1" applyBorder="1" applyProtection="1">
      <protection locked="0"/>
    </xf>
    <xf numFmtId="0" fontId="1" fillId="6" borderId="5" xfId="0" applyFont="1" applyFill="1" applyBorder="1" applyProtection="1">
      <protection locked="0"/>
    </xf>
    <xf numFmtId="0" fontId="1" fillId="6" borderId="7" xfId="0" applyFont="1" applyFill="1" applyBorder="1" applyProtection="1">
      <protection locked="0"/>
    </xf>
    <xf numFmtId="0" fontId="2" fillId="6" borderId="10" xfId="0" applyFont="1" applyFill="1" applyBorder="1"/>
    <xf numFmtId="0" fontId="1" fillId="6" borderId="14" xfId="0" applyFont="1" applyFill="1" applyBorder="1" applyAlignment="1" applyProtection="1">
      <alignment horizontal="center"/>
      <protection locked="0"/>
    </xf>
    <xf numFmtId="3" fontId="1" fillId="0" borderId="0" xfId="0" applyNumberFormat="1" applyFont="1" applyProtection="1">
      <protection hidden="1"/>
    </xf>
    <xf numFmtId="0" fontId="2" fillId="5" borderId="7" xfId="0" applyFont="1" applyFill="1" applyBorder="1"/>
    <xf numFmtId="0" fontId="2" fillId="5" borderId="13" xfId="0" applyFont="1" applyFill="1" applyBorder="1" applyProtection="1">
      <protection locked="0"/>
    </xf>
    <xf numFmtId="0" fontId="2" fillId="5" borderId="3" xfId="0" applyFont="1" applyFill="1" applyBorder="1" applyProtection="1">
      <protection locked="0"/>
    </xf>
    <xf numFmtId="0" fontId="2" fillId="5" borderId="7" xfId="0" applyFont="1" applyFill="1" applyBorder="1" applyProtection="1">
      <protection locked="0"/>
    </xf>
    <xf numFmtId="0" fontId="2" fillId="0" borderId="15" xfId="0" applyFont="1" applyBorder="1"/>
    <xf numFmtId="0" fontId="2" fillId="0" borderId="11" xfId="0" applyFont="1" applyBorder="1"/>
    <xf numFmtId="0" fontId="2" fillId="5" borderId="13" xfId="0" applyFont="1" applyFill="1" applyBorder="1"/>
    <xf numFmtId="164" fontId="2" fillId="0" borderId="11" xfId="0" applyNumberFormat="1" applyFont="1" applyBorder="1"/>
    <xf numFmtId="0" fontId="7" fillId="0" borderId="14" xfId="0" applyFont="1" applyBorder="1"/>
    <xf numFmtId="0" fontId="7" fillId="0" borderId="6" xfId="0" applyFont="1" applyBorder="1"/>
    <xf numFmtId="169" fontId="1" fillId="0" borderId="6" xfId="0" applyNumberFormat="1" applyFont="1" applyBorder="1"/>
    <xf numFmtId="169" fontId="2" fillId="5" borderId="8" xfId="0" applyNumberFormat="1" applyFont="1" applyFill="1" applyBorder="1"/>
    <xf numFmtId="169" fontId="7" fillId="0" borderId="0" xfId="0" applyNumberFormat="1" applyFont="1"/>
    <xf numFmtId="0" fontId="7" fillId="0" borderId="4" xfId="0" applyFont="1" applyBorder="1"/>
    <xf numFmtId="169" fontId="11" fillId="5" borderId="8" xfId="0" applyNumberFormat="1" applyFont="1" applyFill="1" applyBorder="1"/>
    <xf numFmtId="3" fontId="1" fillId="0" borderId="13" xfId="0" applyNumberFormat="1" applyFont="1" applyBorder="1" applyProtection="1">
      <protection locked="0"/>
    </xf>
    <xf numFmtId="3" fontId="1" fillId="0" borderId="9" xfId="0" applyNumberFormat="1" applyFont="1" applyBorder="1" applyProtection="1">
      <protection locked="0"/>
    </xf>
    <xf numFmtId="3" fontId="1" fillId="0" borderId="5" xfId="0" applyNumberFormat="1" applyFont="1" applyBorder="1" applyProtection="1">
      <protection hidden="1"/>
    </xf>
    <xf numFmtId="170" fontId="7" fillId="0" borderId="0" xfId="0" applyNumberFormat="1" applyFont="1"/>
    <xf numFmtId="0" fontId="11" fillId="0" borderId="0" xfId="0" applyFont="1"/>
    <xf numFmtId="17" fontId="9" fillId="0" borderId="0" xfId="0" applyNumberFormat="1" applyFont="1"/>
    <xf numFmtId="0" fontId="7" fillId="0" borderId="3" xfId="0" applyFont="1" applyBorder="1"/>
    <xf numFmtId="165" fontId="7" fillId="0" borderId="3" xfId="0" applyNumberFormat="1" applyFont="1" applyBorder="1"/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left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/>
    <xf numFmtId="1" fontId="7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1" fillId="5" borderId="7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3" fillId="0" borderId="0" xfId="0" applyFont="1" applyProtection="1">
      <protection locked="0"/>
    </xf>
    <xf numFmtId="0" fontId="19" fillId="0" borderId="0" xfId="1" applyFont="1"/>
    <xf numFmtId="0" fontId="20" fillId="0" borderId="0" xfId="0" applyFont="1"/>
    <xf numFmtId="0" fontId="8" fillId="0" borderId="1" xfId="0" applyFont="1" applyBorder="1"/>
    <xf numFmtId="0" fontId="10" fillId="0" borderId="1" xfId="0" applyFont="1" applyBorder="1"/>
    <xf numFmtId="169" fontId="7" fillId="0" borderId="14" xfId="0" applyNumberFormat="1" applyFont="1" applyBorder="1"/>
    <xf numFmtId="169" fontId="7" fillId="0" borderId="6" xfId="0" applyNumberFormat="1" applyFont="1" applyBorder="1"/>
    <xf numFmtId="169" fontId="7" fillId="0" borderId="13" xfId="0" applyNumberFormat="1" applyFont="1" applyBorder="1"/>
    <xf numFmtId="169" fontId="7" fillId="0" borderId="9" xfId="0" applyNumberFormat="1" applyFont="1" applyBorder="1"/>
    <xf numFmtId="169" fontId="7" fillId="0" borderId="8" xfId="0" applyNumberFormat="1" applyFont="1" applyBorder="1"/>
    <xf numFmtId="0" fontId="7" fillId="0" borderId="13" xfId="0" applyFont="1" applyBorder="1"/>
    <xf numFmtId="0" fontId="7" fillId="0" borderId="9" xfId="0" applyFont="1" applyBorder="1"/>
    <xf numFmtId="0" fontId="7" fillId="0" borderId="8" xfId="0" applyFont="1" applyBorder="1"/>
    <xf numFmtId="0" fontId="1" fillId="0" borderId="7" xfId="0" applyFont="1" applyBorder="1" applyProtection="1">
      <protection locked="0"/>
    </xf>
    <xf numFmtId="3" fontId="1" fillId="0" borderId="7" xfId="0" applyNumberFormat="1" applyFont="1" applyBorder="1" applyProtection="1">
      <protection locked="0"/>
    </xf>
    <xf numFmtId="0" fontId="1" fillId="0" borderId="10" xfId="0" applyFont="1" applyBorder="1" applyAlignment="1" applyProtection="1">
      <alignment wrapText="1"/>
      <protection locked="0"/>
    </xf>
    <xf numFmtId="0" fontId="1" fillId="0" borderId="7" xfId="0" applyFont="1" applyBorder="1"/>
    <xf numFmtId="3" fontId="1" fillId="0" borderId="9" xfId="0" applyNumberFormat="1" applyFont="1" applyBorder="1" applyProtection="1">
      <protection hidden="1"/>
    </xf>
    <xf numFmtId="3" fontId="1" fillId="0" borderId="7" xfId="0" applyNumberFormat="1" applyFont="1" applyBorder="1" applyProtection="1">
      <protection hidden="1"/>
    </xf>
    <xf numFmtId="0" fontId="10" fillId="0" borderId="15" xfId="0" applyFont="1" applyBorder="1"/>
    <xf numFmtId="0" fontId="12" fillId="0" borderId="0" xfId="0" applyFont="1"/>
    <xf numFmtId="0" fontId="21" fillId="0" borderId="0" xfId="0" applyFont="1"/>
    <xf numFmtId="0" fontId="12" fillId="0" borderId="5" xfId="0" applyFont="1" applyBorder="1"/>
    <xf numFmtId="0" fontId="11" fillId="0" borderId="15" xfId="0" applyFont="1" applyBorder="1"/>
    <xf numFmtId="0" fontId="1" fillId="0" borderId="15" xfId="0" applyFont="1" applyBorder="1" applyProtection="1">
      <protection locked="0"/>
    </xf>
    <xf numFmtId="0" fontId="1" fillId="6" borderId="15" xfId="0" applyFont="1" applyFill="1" applyBorder="1" applyProtection="1">
      <protection locked="0"/>
    </xf>
    <xf numFmtId="169" fontId="1" fillId="6" borderId="11" xfId="0" applyNumberFormat="1" applyFont="1" applyFill="1" applyBorder="1" applyAlignment="1" applyProtection="1">
      <alignment horizontal="right"/>
      <protection locked="0"/>
    </xf>
    <xf numFmtId="0" fontId="1" fillId="6" borderId="14" xfId="0" applyFont="1" applyFill="1" applyBorder="1" applyProtection="1">
      <protection locked="0"/>
    </xf>
    <xf numFmtId="169" fontId="1" fillId="6" borderId="6" xfId="0" applyNumberFormat="1" applyFont="1" applyFill="1" applyBorder="1" applyAlignment="1" applyProtection="1">
      <alignment horizontal="right"/>
      <protection locked="0"/>
    </xf>
    <xf numFmtId="0" fontId="1" fillId="6" borderId="13" xfId="0" applyFont="1" applyFill="1" applyBorder="1" applyProtection="1">
      <protection locked="0"/>
    </xf>
    <xf numFmtId="169" fontId="1" fillId="6" borderId="8" xfId="0" applyNumberFormat="1" applyFont="1" applyFill="1" applyBorder="1" applyAlignment="1" applyProtection="1">
      <alignment horizontal="right"/>
      <protection locked="0"/>
    </xf>
    <xf numFmtId="169" fontId="1" fillId="6" borderId="6" xfId="0" applyNumberFormat="1" applyFont="1" applyFill="1" applyBorder="1" applyProtection="1">
      <protection locked="0"/>
    </xf>
    <xf numFmtId="169" fontId="1" fillId="6" borderId="8" xfId="0" applyNumberFormat="1" applyFont="1" applyFill="1" applyBorder="1" applyProtection="1">
      <protection locked="0"/>
    </xf>
    <xf numFmtId="167" fontId="2" fillId="5" borderId="1" xfId="0" applyNumberFormat="1" applyFont="1" applyFill="1" applyBorder="1" applyAlignment="1" applyProtection="1">
      <alignment horizontal="right"/>
      <protection locked="0"/>
    </xf>
    <xf numFmtId="169" fontId="2" fillId="5" borderId="4" xfId="0" applyNumberFormat="1" applyFont="1" applyFill="1" applyBorder="1" applyAlignment="1" applyProtection="1">
      <alignment horizontal="right"/>
      <protection locked="0"/>
    </xf>
    <xf numFmtId="169" fontId="2" fillId="2" borderId="4" xfId="0" applyNumberFormat="1" applyFont="1" applyFill="1" applyBorder="1" applyAlignment="1" applyProtection="1">
      <alignment horizontal="right"/>
      <protection locked="0"/>
    </xf>
    <xf numFmtId="167" fontId="2" fillId="5" borderId="13" xfId="0" applyNumberFormat="1" applyFont="1" applyFill="1" applyBorder="1" applyAlignment="1" applyProtection="1">
      <alignment horizontal="right"/>
      <protection locked="0"/>
    </xf>
    <xf numFmtId="167" fontId="2" fillId="6" borderId="1" xfId="0" applyNumberFormat="1" applyFont="1" applyFill="1" applyBorder="1" applyAlignment="1" applyProtection="1">
      <alignment horizontal="right"/>
      <protection locked="0"/>
    </xf>
    <xf numFmtId="0" fontId="12" fillId="0" borderId="4" xfId="0" applyFont="1" applyBorder="1"/>
    <xf numFmtId="0" fontId="10" fillId="0" borderId="4" xfId="0" applyFont="1" applyBorder="1"/>
    <xf numFmtId="0" fontId="8" fillId="0" borderId="4" xfId="0" applyFont="1" applyBorder="1"/>
    <xf numFmtId="0" fontId="10" fillId="0" borderId="11" xfId="0" applyFont="1" applyBorder="1"/>
    <xf numFmtId="0" fontId="22" fillId="0" borderId="0" xfId="0" applyFont="1"/>
    <xf numFmtId="0" fontId="25" fillId="4" borderId="0" xfId="0" applyFont="1" applyFill="1"/>
    <xf numFmtId="0" fontId="26" fillId="4" borderId="0" xfId="0" applyFont="1" applyFill="1"/>
    <xf numFmtId="0" fontId="27" fillId="4" borderId="0" xfId="0" applyFont="1" applyFill="1" applyAlignment="1">
      <alignment horizontal="center"/>
    </xf>
    <xf numFmtId="0" fontId="27" fillId="4" borderId="0" xfId="0" applyFont="1" applyFill="1"/>
    <xf numFmtId="0" fontId="28" fillId="4" borderId="0" xfId="0" applyFont="1" applyFill="1" applyAlignment="1">
      <alignment horizontal="left"/>
    </xf>
    <xf numFmtId="0" fontId="7" fillId="4" borderId="0" xfId="0" applyFont="1" applyFill="1"/>
    <xf numFmtId="0" fontId="29" fillId="4" borderId="0" xfId="0" applyFont="1" applyFill="1" applyAlignment="1">
      <alignment horizontal="right"/>
    </xf>
    <xf numFmtId="0" fontId="24" fillId="0" borderId="0" xfId="0" applyFont="1"/>
    <xf numFmtId="0" fontId="23" fillId="0" borderId="0" xfId="0" applyFont="1"/>
    <xf numFmtId="0" fontId="30" fillId="4" borderId="0" xfId="0" applyFont="1" applyFill="1" applyAlignment="1">
      <alignment horizontal="left"/>
    </xf>
    <xf numFmtId="0" fontId="31" fillId="4" borderId="0" xfId="1" applyFont="1" applyFill="1"/>
    <xf numFmtId="0" fontId="32" fillId="4" borderId="0" xfId="0" applyFont="1" applyFill="1"/>
    <xf numFmtId="0" fontId="2" fillId="6" borderId="15" xfId="0" applyFont="1" applyFill="1" applyBorder="1"/>
    <xf numFmtId="0" fontId="7" fillId="0" borderId="5" xfId="0" applyFont="1" applyBorder="1"/>
    <xf numFmtId="9" fontId="7" fillId="0" borderId="5" xfId="0" applyNumberFormat="1" applyFont="1" applyBorder="1"/>
    <xf numFmtId="9" fontId="10" fillId="0" borderId="5" xfId="0" applyNumberFormat="1" applyFont="1" applyBorder="1"/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8" fontId="2" fillId="6" borderId="2" xfId="0" applyNumberFormat="1" applyFont="1" applyFill="1" applyBorder="1" applyAlignment="1" applyProtection="1">
      <alignment horizontal="right"/>
      <protection locked="0"/>
    </xf>
    <xf numFmtId="167" fontId="2" fillId="6" borderId="2" xfId="0" applyNumberFormat="1" applyFont="1" applyFill="1" applyBorder="1" applyAlignment="1" applyProtection="1">
      <alignment horizontal="right"/>
      <protection locked="0"/>
    </xf>
    <xf numFmtId="0" fontId="1" fillId="6" borderId="13" xfId="0" applyFont="1" applyFill="1" applyBorder="1" applyAlignment="1" applyProtection="1">
      <alignment horizontal="center" vertical="top"/>
      <protection locked="0"/>
    </xf>
    <xf numFmtId="0" fontId="1" fillId="6" borderId="8" xfId="0" applyFont="1" applyFill="1" applyBorder="1" applyAlignment="1" applyProtection="1">
      <alignment horizontal="center" vertical="top"/>
      <protection locked="0"/>
    </xf>
    <xf numFmtId="0" fontId="36" fillId="4" borderId="0" xfId="0" applyFont="1" applyFill="1"/>
    <xf numFmtId="0" fontId="33" fillId="0" borderId="0" xfId="0" applyFont="1"/>
    <xf numFmtId="0" fontId="7" fillId="5" borderId="3" xfId="0" applyFont="1" applyFill="1" applyBorder="1"/>
    <xf numFmtId="0" fontId="2" fillId="0" borderId="0" xfId="2" applyFont="1" applyAlignment="1">
      <alignment vertical="center"/>
    </xf>
    <xf numFmtId="0" fontId="41" fillId="0" borderId="0" xfId="2" applyFont="1"/>
    <xf numFmtId="0" fontId="42" fillId="0" borderId="0" xfId="2" applyFont="1"/>
    <xf numFmtId="0" fontId="42" fillId="0" borderId="0" xfId="2" applyFont="1" applyProtection="1">
      <protection locked="0"/>
    </xf>
    <xf numFmtId="0" fontId="1" fillId="0" borderId="3" xfId="2" applyFont="1" applyBorder="1"/>
    <xf numFmtId="0" fontId="2" fillId="0" borderId="3" xfId="2" applyFont="1" applyBorder="1" applyAlignment="1">
      <alignment horizontal="center" wrapText="1"/>
    </xf>
    <xf numFmtId="0" fontId="1" fillId="0" borderId="7" xfId="2" applyFont="1" applyBorder="1"/>
    <xf numFmtId="0" fontId="42" fillId="7" borderId="1" xfId="2" quotePrefix="1" applyFont="1" applyFill="1" applyBorder="1" applyAlignment="1">
      <alignment horizontal="right" vertical="center"/>
    </xf>
    <xf numFmtId="0" fontId="2" fillId="3" borderId="3" xfId="0" applyFont="1" applyFill="1" applyBorder="1" applyAlignment="1" applyProtection="1">
      <alignment vertical="center"/>
      <protection hidden="1"/>
    </xf>
    <xf numFmtId="0" fontId="2" fillId="2" borderId="3" xfId="0" applyFont="1" applyFill="1" applyBorder="1" applyAlignment="1" applyProtection="1">
      <alignment vertical="center"/>
      <protection hidden="1"/>
    </xf>
    <xf numFmtId="49" fontId="43" fillId="6" borderId="16" xfId="4" applyFont="1" applyFill="1" applyBorder="1" applyProtection="1">
      <alignment wrapText="1"/>
    </xf>
    <xf numFmtId="17" fontId="9" fillId="5" borderId="3" xfId="0" applyNumberFormat="1" applyFont="1" applyFill="1" applyBorder="1" applyAlignment="1">
      <alignment horizontal="center" vertical="center"/>
    </xf>
    <xf numFmtId="173" fontId="2" fillId="0" borderId="3" xfId="2" applyNumberFormat="1" applyFont="1" applyBorder="1"/>
    <xf numFmtId="43" fontId="42" fillId="0" borderId="2" xfId="3" applyFont="1" applyFill="1" applyBorder="1" applyAlignment="1" applyProtection="1">
      <alignment horizontal="right" vertical="center"/>
      <protection locked="0"/>
    </xf>
    <xf numFmtId="0" fontId="1" fillId="9" borderId="3" xfId="2" applyFont="1" applyFill="1" applyBorder="1" applyAlignment="1" applyProtection="1">
      <alignment horizontal="right" vertical="center"/>
      <protection locked="0"/>
    </xf>
    <xf numFmtId="173" fontId="1" fillId="9" borderId="3" xfId="2" applyNumberFormat="1" applyFont="1" applyFill="1" applyBorder="1" applyAlignment="1" applyProtection="1">
      <alignment horizontal="right" vertical="center"/>
      <protection locked="0"/>
    </xf>
    <xf numFmtId="173" fontId="42" fillId="9" borderId="3" xfId="2" applyNumberFormat="1" applyFont="1" applyFill="1" applyBorder="1" applyProtection="1">
      <protection locked="0"/>
    </xf>
    <xf numFmtId="17" fontId="9" fillId="5" borderId="1" xfId="0" applyNumberFormat="1" applyFont="1" applyFill="1" applyBorder="1" applyAlignment="1">
      <alignment horizontal="center" vertical="center"/>
    </xf>
    <xf numFmtId="37" fontId="42" fillId="0" borderId="1" xfId="3" applyNumberFormat="1" applyFont="1" applyFill="1" applyBorder="1" applyAlignment="1" applyProtection="1">
      <alignment horizontal="right" vertical="center"/>
      <protection locked="0"/>
    </xf>
    <xf numFmtId="43" fontId="42" fillId="0" borderId="13" xfId="3" applyFont="1" applyFill="1" applyBorder="1" applyAlignment="1" applyProtection="1">
      <alignment horizontal="right" vertical="center"/>
      <protection locked="0"/>
    </xf>
    <xf numFmtId="0" fontId="42" fillId="0" borderId="5" xfId="2" applyFont="1" applyBorder="1"/>
    <xf numFmtId="0" fontId="41" fillId="0" borderId="13" xfId="2" applyFont="1" applyBorder="1" applyAlignment="1">
      <alignment horizontal="right" vertical="center"/>
    </xf>
    <xf numFmtId="0" fontId="42" fillId="0" borderId="1" xfId="2" applyFont="1" applyBorder="1" applyAlignment="1">
      <alignment horizontal="right" vertical="center"/>
    </xf>
    <xf numFmtId="0" fontId="42" fillId="0" borderId="15" xfId="2" quotePrefix="1" applyFont="1" applyBorder="1" applyAlignment="1">
      <alignment horizontal="right" vertical="center"/>
    </xf>
    <xf numFmtId="0" fontId="42" fillId="0" borderId="1" xfId="2" quotePrefix="1" applyFont="1" applyBorder="1" applyAlignment="1">
      <alignment horizontal="right" vertical="center"/>
    </xf>
    <xf numFmtId="0" fontId="41" fillId="0" borderId="1" xfId="2" applyFont="1" applyBorder="1" applyAlignment="1">
      <alignment horizontal="right" vertical="center"/>
    </xf>
    <xf numFmtId="0" fontId="2" fillId="0" borderId="15" xfId="2" applyFont="1" applyBorder="1" applyAlignment="1">
      <alignment horizontal="right" vertical="center"/>
    </xf>
    <xf numFmtId="0" fontId="2" fillId="0" borderId="1" xfId="2" applyFont="1" applyBorder="1" applyAlignment="1">
      <alignment horizontal="right" vertical="center"/>
    </xf>
    <xf numFmtId="172" fontId="42" fillId="0" borderId="1" xfId="3" applyNumberFormat="1" applyFont="1" applyFill="1" applyBorder="1" applyAlignment="1" applyProtection="1">
      <alignment horizontal="right" vertical="center"/>
      <protection locked="0"/>
    </xf>
    <xf numFmtId="172" fontId="42" fillId="0" borderId="2" xfId="3" applyNumberFormat="1" applyFont="1" applyFill="1" applyBorder="1" applyAlignment="1" applyProtection="1">
      <alignment horizontal="right" vertical="center"/>
      <protection locked="0"/>
    </xf>
    <xf numFmtId="172" fontId="42" fillId="0" borderId="4" xfId="3" applyNumberFormat="1" applyFont="1" applyFill="1" applyBorder="1" applyAlignment="1" applyProtection="1">
      <alignment horizontal="right" vertical="center"/>
      <protection locked="0"/>
    </xf>
    <xf numFmtId="37" fontId="42" fillId="9" borderId="1" xfId="3" applyNumberFormat="1" applyFont="1" applyFill="1" applyBorder="1" applyAlignment="1" applyProtection="1">
      <alignment horizontal="right" vertical="center"/>
      <protection locked="0"/>
    </xf>
    <xf numFmtId="37" fontId="42" fillId="0" borderId="2" xfId="3" applyNumberFormat="1" applyFont="1" applyFill="1" applyBorder="1" applyAlignment="1" applyProtection="1">
      <alignment horizontal="right" vertical="center"/>
      <protection locked="0"/>
    </xf>
    <xf numFmtId="41" fontId="42" fillId="7" borderId="15" xfId="3" applyNumberFormat="1" applyFont="1" applyFill="1" applyBorder="1" applyAlignment="1" applyProtection="1">
      <alignment horizontal="right" vertical="center"/>
    </xf>
    <xf numFmtId="41" fontId="42" fillId="0" borderId="12" xfId="3" applyNumberFormat="1" applyFont="1" applyFill="1" applyBorder="1" applyAlignment="1" applyProtection="1">
      <alignment horizontal="right" vertical="center"/>
    </xf>
    <xf numFmtId="41" fontId="42" fillId="0" borderId="2" xfId="3" applyNumberFormat="1" applyFont="1" applyFill="1" applyBorder="1" applyAlignment="1" applyProtection="1">
      <alignment horizontal="right" vertical="center"/>
    </xf>
    <xf numFmtId="43" fontId="42" fillId="7" borderId="1" xfId="3" applyFont="1" applyFill="1" applyBorder="1" applyAlignment="1" applyProtection="1">
      <alignment horizontal="right" vertical="center"/>
    </xf>
    <xf numFmtId="43" fontId="42" fillId="0" borderId="4" xfId="3" applyFont="1" applyFill="1" applyBorder="1" applyAlignment="1" applyProtection="1">
      <alignment horizontal="right" vertical="center"/>
      <protection locked="0"/>
    </xf>
    <xf numFmtId="43" fontId="42" fillId="7" borderId="13" xfId="3" applyFont="1" applyFill="1" applyBorder="1" applyAlignment="1" applyProtection="1">
      <alignment horizontal="right" vertical="center"/>
      <protection locked="0"/>
    </xf>
    <xf numFmtId="43" fontId="42" fillId="0" borderId="9" xfId="3" applyFont="1" applyFill="1" applyBorder="1" applyAlignment="1" applyProtection="1">
      <alignment horizontal="right" vertical="center"/>
      <protection locked="0"/>
    </xf>
    <xf numFmtId="43" fontId="42" fillId="0" borderId="8" xfId="3" applyFont="1" applyFill="1" applyBorder="1" applyAlignment="1" applyProtection="1">
      <alignment horizontal="right" vertical="center"/>
      <protection locked="0"/>
    </xf>
    <xf numFmtId="43" fontId="42" fillId="7" borderId="1" xfId="3" applyFont="1" applyFill="1" applyBorder="1" applyAlignment="1" applyProtection="1">
      <alignment horizontal="right" vertical="center"/>
      <protection locked="0"/>
    </xf>
    <xf numFmtId="43" fontId="42" fillId="7" borderId="13" xfId="2" applyNumberFormat="1" applyFont="1" applyFill="1" applyBorder="1" applyAlignment="1">
      <alignment horizontal="right" vertical="center"/>
    </xf>
    <xf numFmtId="41" fontId="1" fillId="0" borderId="2" xfId="3" applyNumberFormat="1" applyFont="1" applyFill="1" applyBorder="1" applyAlignment="1" applyProtection="1">
      <alignment horizontal="right" vertical="center"/>
    </xf>
    <xf numFmtId="0" fontId="11" fillId="0" borderId="3" xfId="2" applyFont="1" applyBorder="1"/>
    <xf numFmtId="0" fontId="44" fillId="0" borderId="0" xfId="2" applyFont="1" applyAlignment="1">
      <alignment vertical="center"/>
    </xf>
    <xf numFmtId="9" fontId="11" fillId="0" borderId="1" xfId="2" applyNumberFormat="1" applyFont="1" applyBorder="1" applyAlignment="1">
      <alignment horizontal="center"/>
    </xf>
    <xf numFmtId="0" fontId="2" fillId="0" borderId="7" xfId="2" applyFont="1" applyBorder="1" applyAlignment="1">
      <alignment horizontal="right" vertical="center"/>
    </xf>
    <xf numFmtId="0" fontId="2" fillId="0" borderId="3" xfId="2" applyFont="1" applyBorder="1" applyAlignment="1">
      <alignment horizontal="right" vertical="center"/>
    </xf>
    <xf numFmtId="43" fontId="42" fillId="0" borderId="1" xfId="3" applyFont="1" applyFill="1" applyBorder="1" applyAlignment="1" applyProtection="1">
      <alignment horizontal="right" vertical="center"/>
    </xf>
    <xf numFmtId="37" fontId="2" fillId="0" borderId="3" xfId="2" applyNumberFormat="1" applyFont="1" applyBorder="1" applyAlignment="1">
      <alignment horizontal="right" vertical="center"/>
    </xf>
    <xf numFmtId="174" fontId="2" fillId="0" borderId="3" xfId="2" applyNumberFormat="1" applyFont="1" applyBorder="1" applyAlignment="1">
      <alignment horizontal="right" vertical="center"/>
    </xf>
    <xf numFmtId="43" fontId="42" fillId="0" borderId="1" xfId="3" applyFont="1" applyFill="1" applyBorder="1" applyAlignment="1" applyProtection="1">
      <alignment horizontal="right" vertical="center"/>
      <protection locked="0"/>
    </xf>
    <xf numFmtId="43" fontId="42" fillId="0" borderId="9" xfId="2" applyNumberFormat="1" applyFont="1" applyBorder="1" applyAlignment="1">
      <alignment horizontal="right" vertical="center"/>
    </xf>
    <xf numFmtId="43" fontId="42" fillId="0" borderId="8" xfId="2" applyNumberFormat="1" applyFont="1" applyBorder="1" applyAlignment="1">
      <alignment horizontal="right" vertical="center"/>
    </xf>
    <xf numFmtId="43" fontId="42" fillId="0" borderId="13" xfId="2" applyNumberFormat="1" applyFont="1" applyBorder="1" applyAlignment="1">
      <alignment horizontal="right" vertical="center"/>
    </xf>
    <xf numFmtId="0" fontId="2" fillId="0" borderId="3" xfId="2" applyFont="1" applyBorder="1" applyAlignment="1">
      <alignment horizontal="center" vertical="center" wrapText="1"/>
    </xf>
    <xf numFmtId="0" fontId="41" fillId="0" borderId="12" xfId="2" applyFont="1" applyBorder="1" applyAlignment="1">
      <alignment horizontal="center" vertical="center" wrapText="1"/>
    </xf>
    <xf numFmtId="171" fontId="11" fillId="9" borderId="2" xfId="2" applyNumberFormat="1" applyFont="1" applyFill="1" applyBorder="1"/>
    <xf numFmtId="9" fontId="11" fillId="9" borderId="2" xfId="2" applyNumberFormat="1" applyFont="1" applyFill="1" applyBorder="1"/>
    <xf numFmtId="9" fontId="11" fillId="9" borderId="2" xfId="6" applyFont="1" applyFill="1" applyBorder="1" applyAlignment="1" applyProtection="1">
      <alignment vertical="center"/>
      <protection locked="0"/>
    </xf>
    <xf numFmtId="0" fontId="2" fillId="0" borderId="7" xfId="2" applyFont="1" applyBorder="1"/>
    <xf numFmtId="10" fontId="1" fillId="0" borderId="7" xfId="6" applyNumberFormat="1" applyFont="1" applyBorder="1"/>
    <xf numFmtId="0" fontId="2" fillId="0" borderId="7" xfId="2" applyFont="1" applyBorder="1" applyAlignment="1">
      <alignment horizontal="right"/>
    </xf>
    <xf numFmtId="0" fontId="42" fillId="0" borderId="7" xfId="2" applyFont="1" applyBorder="1"/>
    <xf numFmtId="0" fontId="2" fillId="0" borderId="3" xfId="2" applyFont="1" applyBorder="1"/>
    <xf numFmtId="10" fontId="1" fillId="0" borderId="3" xfId="6" applyNumberFormat="1" applyFont="1" applyBorder="1"/>
    <xf numFmtId="0" fontId="42" fillId="0" borderId="3" xfId="2" applyFont="1" applyBorder="1"/>
    <xf numFmtId="41" fontId="1" fillId="0" borderId="3" xfId="2" applyNumberFormat="1" applyFont="1" applyBorder="1"/>
    <xf numFmtId="0" fontId="42" fillId="0" borderId="10" xfId="2" applyFont="1" applyBorder="1"/>
    <xf numFmtId="10" fontId="1" fillId="0" borderId="3" xfId="6" applyNumberFormat="1" applyFont="1" applyFill="1" applyBorder="1"/>
    <xf numFmtId="41" fontId="1" fillId="9" borderId="1" xfId="3" applyNumberFormat="1" applyFont="1" applyFill="1" applyBorder="1" applyProtection="1">
      <protection locked="0"/>
    </xf>
    <xf numFmtId="10" fontId="1" fillId="9" borderId="3" xfId="6" applyNumberFormat="1" applyFont="1" applyFill="1" applyBorder="1" applyProtection="1">
      <protection locked="0"/>
    </xf>
    <xf numFmtId="38" fontId="1" fillId="9" borderId="3" xfId="3" applyNumberFormat="1" applyFont="1" applyFill="1" applyBorder="1" applyProtection="1">
      <protection locked="0"/>
    </xf>
    <xf numFmtId="41" fontId="1" fillId="9" borderId="13" xfId="3" applyNumberFormat="1" applyFont="1" applyFill="1" applyBorder="1" applyProtection="1">
      <protection locked="0"/>
    </xf>
    <xf numFmtId="173" fontId="1" fillId="0" borderId="1" xfId="2" applyNumberFormat="1" applyFont="1" applyBorder="1"/>
    <xf numFmtId="0" fontId="42" fillId="4" borderId="0" xfId="2" applyFont="1" applyFill="1"/>
    <xf numFmtId="0" fontId="11" fillId="0" borderId="0" xfId="2" applyFont="1"/>
    <xf numFmtId="0" fontId="42" fillId="9" borderId="0" xfId="2" applyFont="1" applyFill="1"/>
    <xf numFmtId="0" fontId="42" fillId="0" borderId="0" xfId="2" quotePrefix="1" applyFont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7" fillId="4" borderId="3" xfId="0" applyFont="1" applyFill="1" applyBorder="1"/>
    <xf numFmtId="0" fontId="1" fillId="0" borderId="3" xfId="2" applyFont="1" applyBorder="1" applyAlignment="1">
      <alignment horizontal="left" indent="1"/>
    </xf>
    <xf numFmtId="0" fontId="11" fillId="0" borderId="1" xfId="0" applyFont="1" applyBorder="1"/>
    <xf numFmtId="49" fontId="2" fillId="6" borderId="16" xfId="4" applyFont="1" applyFill="1" applyBorder="1" applyAlignment="1">
      <alignment horizontal="center" vertical="center" wrapText="1"/>
    </xf>
    <xf numFmtId="0" fontId="42" fillId="0" borderId="0" xfId="2" applyFont="1" applyAlignment="1">
      <alignment wrapText="1"/>
    </xf>
    <xf numFmtId="175" fontId="42" fillId="0" borderId="0" xfId="2" applyNumberFormat="1" applyFont="1"/>
    <xf numFmtId="0" fontId="46" fillId="0" borderId="3" xfId="2" applyFont="1" applyBorder="1" applyAlignment="1">
      <alignment horizontal="right" vertical="center"/>
    </xf>
    <xf numFmtId="41" fontId="47" fillId="0" borderId="12" xfId="3" applyNumberFormat="1" applyFont="1" applyFill="1" applyBorder="1" applyAlignment="1" applyProtection="1">
      <alignment horizontal="right" vertical="center"/>
    </xf>
    <xf numFmtId="174" fontId="48" fillId="0" borderId="3" xfId="2" applyNumberFormat="1" applyFont="1" applyBorder="1" applyAlignment="1">
      <alignment horizontal="right" vertical="center"/>
    </xf>
    <xf numFmtId="0" fontId="47" fillId="0" borderId="1" xfId="2" applyFont="1" applyBorder="1" applyAlignment="1">
      <alignment horizontal="right" vertical="center"/>
    </xf>
    <xf numFmtId="41" fontId="47" fillId="7" borderId="15" xfId="3" applyNumberFormat="1" applyFont="1" applyFill="1" applyBorder="1" applyAlignment="1" applyProtection="1">
      <alignment horizontal="right" vertical="center"/>
    </xf>
    <xf numFmtId="41" fontId="47" fillId="0" borderId="2" xfId="3" applyNumberFormat="1" applyFont="1" applyFill="1" applyBorder="1" applyAlignment="1" applyProtection="1">
      <alignment horizontal="right" vertical="center"/>
    </xf>
    <xf numFmtId="1" fontId="47" fillId="0" borderId="12" xfId="3" applyNumberFormat="1" applyFont="1" applyFill="1" applyBorder="1" applyAlignment="1" applyProtection="1">
      <alignment horizontal="right" vertical="center"/>
    </xf>
    <xf numFmtId="37" fontId="48" fillId="0" borderId="3" xfId="2" applyNumberFormat="1" applyFont="1" applyBorder="1" applyAlignment="1">
      <alignment horizontal="right" vertical="center"/>
    </xf>
    <xf numFmtId="0" fontId="47" fillId="0" borderId="15" xfId="2" quotePrefix="1" applyFont="1" applyBorder="1" applyAlignment="1">
      <alignment horizontal="right" vertical="center"/>
    </xf>
    <xf numFmtId="0" fontId="47" fillId="0" borderId="1" xfId="2" quotePrefix="1" applyFont="1" applyBorder="1" applyAlignment="1">
      <alignment horizontal="right" vertical="center"/>
    </xf>
    <xf numFmtId="0" fontId="42" fillId="0" borderId="0" xfId="2" applyFont="1" applyAlignment="1">
      <alignment horizontal="right"/>
    </xf>
    <xf numFmtId="175" fontId="7" fillId="0" borderId="0" xfId="0" applyNumberFormat="1" applyFont="1"/>
    <xf numFmtId="176" fontId="7" fillId="0" borderId="0" xfId="0" applyNumberFormat="1" applyFont="1"/>
    <xf numFmtId="176" fontId="11" fillId="0" borderId="0" xfId="0" applyNumberFormat="1" applyFont="1"/>
    <xf numFmtId="177" fontId="11" fillId="0" borderId="0" xfId="0" applyNumberFormat="1" applyFont="1"/>
    <xf numFmtId="0" fontId="49" fillId="0" borderId="0" xfId="0" applyFont="1"/>
    <xf numFmtId="2" fontId="7" fillId="0" borderId="0" xfId="0" applyNumberFormat="1" applyFont="1"/>
    <xf numFmtId="175" fontId="47" fillId="0" borderId="12" xfId="3" applyNumberFormat="1" applyFont="1" applyFill="1" applyBorder="1" applyAlignment="1" applyProtection="1">
      <alignment horizontal="right" vertical="center"/>
    </xf>
    <xf numFmtId="0" fontId="46" fillId="0" borderId="0" xfId="2" applyFont="1"/>
    <xf numFmtId="0" fontId="2" fillId="0" borderId="3" xfId="2" quotePrefix="1" applyFont="1" applyBorder="1" applyAlignment="1">
      <alignment horizontal="right" vertical="center"/>
    </xf>
    <xf numFmtId="41" fontId="47" fillId="0" borderId="4" xfId="3" applyNumberFormat="1" applyFont="1" applyFill="1" applyBorder="1" applyAlignment="1" applyProtection="1">
      <alignment horizontal="right" vertical="center"/>
    </xf>
    <xf numFmtId="0" fontId="42" fillId="0" borderId="3" xfId="2" quotePrefix="1" applyFont="1" applyBorder="1" applyAlignment="1">
      <alignment horizontal="right" vertical="center"/>
    </xf>
    <xf numFmtId="174" fontId="1" fillId="0" borderId="1" xfId="2" applyNumberFormat="1" applyFont="1" applyBorder="1" applyAlignment="1">
      <alignment horizontal="left" vertical="center"/>
    </xf>
    <xf numFmtId="37" fontId="2" fillId="0" borderId="0" xfId="2" applyNumberFormat="1" applyFont="1" applyAlignment="1">
      <alignment horizontal="right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50" fillId="0" borderId="0" xfId="0" applyFont="1"/>
    <xf numFmtId="0" fontId="45" fillId="0" borderId="0" xfId="0" applyFont="1"/>
    <xf numFmtId="0" fontId="18" fillId="0" borderId="0" xfId="1"/>
    <xf numFmtId="178" fontId="2" fillId="0" borderId="0" xfId="0" applyNumberFormat="1" applyFont="1"/>
    <xf numFmtId="0" fontId="0" fillId="0" borderId="0" xfId="0" applyAlignment="1">
      <alignment wrapText="1"/>
    </xf>
    <xf numFmtId="0" fontId="45" fillId="0" borderId="0" xfId="0" applyFont="1" applyAlignment="1">
      <alignment wrapText="1"/>
    </xf>
    <xf numFmtId="0" fontId="47" fillId="0" borderId="0" xfId="2" applyFont="1" applyAlignment="1">
      <alignment horizontal="right"/>
    </xf>
    <xf numFmtId="37" fontId="42" fillId="0" borderId="0" xfId="2" applyNumberFormat="1" applyFont="1"/>
    <xf numFmtId="37" fontId="42" fillId="10" borderId="2" xfId="3" applyNumberFormat="1" applyFont="1" applyFill="1" applyBorder="1" applyAlignment="1" applyProtection="1">
      <alignment horizontal="right" vertical="center"/>
      <protection locked="0"/>
    </xf>
    <xf numFmtId="41" fontId="42" fillId="10" borderId="12" xfId="3" applyNumberFormat="1" applyFont="1" applyFill="1" applyBorder="1" applyAlignment="1" applyProtection="1">
      <alignment horizontal="right" vertical="center"/>
    </xf>
    <xf numFmtId="43" fontId="42" fillId="10" borderId="2" xfId="3" applyFont="1" applyFill="1" applyBorder="1" applyAlignment="1" applyProtection="1">
      <alignment horizontal="right" vertical="center"/>
      <protection locked="0"/>
    </xf>
    <xf numFmtId="43" fontId="42" fillId="10" borderId="9" xfId="3" applyFont="1" applyFill="1" applyBorder="1" applyAlignment="1" applyProtection="1">
      <alignment horizontal="right" vertical="center"/>
      <protection locked="0"/>
    </xf>
    <xf numFmtId="41" fontId="42" fillId="10" borderId="2" xfId="3" applyNumberFormat="1" applyFont="1" applyFill="1" applyBorder="1" applyAlignment="1" applyProtection="1">
      <alignment horizontal="right" vertical="center"/>
    </xf>
    <xf numFmtId="43" fontId="42" fillId="10" borderId="9" xfId="2" applyNumberFormat="1" applyFont="1" applyFill="1" applyBorder="1" applyAlignment="1">
      <alignment horizontal="right" vertical="center"/>
    </xf>
    <xf numFmtId="41" fontId="1" fillId="10" borderId="2" xfId="3" applyNumberFormat="1" applyFont="1" applyFill="1" applyBorder="1" applyAlignment="1" applyProtection="1">
      <alignment horizontal="right" vertical="center"/>
    </xf>
    <xf numFmtId="41" fontId="47" fillId="10" borderId="12" xfId="3" applyNumberFormat="1" applyFont="1" applyFill="1" applyBorder="1" applyAlignment="1" applyProtection="1">
      <alignment horizontal="right" vertical="center"/>
    </xf>
    <xf numFmtId="1" fontId="47" fillId="10" borderId="12" xfId="3" applyNumberFormat="1" applyFont="1" applyFill="1" applyBorder="1" applyAlignment="1" applyProtection="1">
      <alignment horizontal="right" vertical="center"/>
    </xf>
    <xf numFmtId="175" fontId="47" fillId="10" borderId="12" xfId="3" applyNumberFormat="1" applyFont="1" applyFill="1" applyBorder="1" applyAlignment="1" applyProtection="1">
      <alignment horizontal="right" vertical="center"/>
    </xf>
    <xf numFmtId="41" fontId="47" fillId="10" borderId="2" xfId="3" applyNumberFormat="1" applyFont="1" applyFill="1" applyBorder="1" applyAlignment="1" applyProtection="1">
      <alignment horizontal="right" vertical="center"/>
    </xf>
    <xf numFmtId="174" fontId="1" fillId="10" borderId="1" xfId="2" applyNumberFormat="1" applyFont="1" applyFill="1" applyBorder="1" applyAlignment="1">
      <alignment horizontal="left" vertical="center"/>
    </xf>
    <xf numFmtId="172" fontId="51" fillId="0" borderId="2" xfId="3" applyNumberFormat="1" applyFont="1" applyFill="1" applyBorder="1" applyAlignment="1" applyProtection="1">
      <alignment horizontal="center" vertical="center"/>
      <protection locked="0"/>
    </xf>
    <xf numFmtId="179" fontId="1" fillId="0" borderId="0" xfId="0" applyNumberFormat="1" applyFont="1" applyProtection="1">
      <protection locked="0"/>
    </xf>
    <xf numFmtId="0" fontId="1" fillId="0" borderId="14" xfId="0" applyFont="1" applyBorder="1" applyAlignment="1">
      <alignment wrapText="1"/>
    </xf>
    <xf numFmtId="180" fontId="1" fillId="0" borderId="0" xfId="0" applyNumberFormat="1" applyFont="1" applyProtection="1">
      <protection locked="0"/>
    </xf>
    <xf numFmtId="180" fontId="1" fillId="0" borderId="6" xfId="0" applyNumberFormat="1" applyFont="1" applyBorder="1" applyProtection="1">
      <protection locked="0"/>
    </xf>
    <xf numFmtId="181" fontId="1" fillId="0" borderId="0" xfId="0" applyNumberFormat="1" applyFont="1" applyProtection="1">
      <protection locked="0"/>
    </xf>
    <xf numFmtId="181" fontId="1" fillId="0" borderId="6" xfId="0" applyNumberFormat="1" applyFont="1" applyBorder="1" applyProtection="1">
      <protection locked="0"/>
    </xf>
    <xf numFmtId="181" fontId="1" fillId="0" borderId="5" xfId="0" applyNumberFormat="1" applyFont="1" applyBorder="1" applyProtection="1">
      <protection locked="0"/>
    </xf>
    <xf numFmtId="181" fontId="2" fillId="3" borderId="9" xfId="0" applyNumberFormat="1" applyFont="1" applyFill="1" applyBorder="1" applyProtection="1">
      <protection hidden="1"/>
    </xf>
    <xf numFmtId="181" fontId="2" fillId="3" borderId="7" xfId="0" applyNumberFormat="1" applyFont="1" applyFill="1" applyBorder="1" applyProtection="1">
      <protection hidden="1"/>
    </xf>
    <xf numFmtId="181" fontId="2" fillId="2" borderId="9" xfId="0" applyNumberFormat="1" applyFont="1" applyFill="1" applyBorder="1" applyProtection="1">
      <protection hidden="1"/>
    </xf>
    <xf numFmtId="181" fontId="2" fillId="2" borderId="7" xfId="0" applyNumberFormat="1" applyFont="1" applyFill="1" applyBorder="1" applyProtection="1">
      <protection hidden="1"/>
    </xf>
    <xf numFmtId="181" fontId="2" fillId="3" borderId="2" xfId="0" applyNumberFormat="1" applyFont="1" applyFill="1" applyBorder="1" applyProtection="1">
      <protection hidden="1"/>
    </xf>
    <xf numFmtId="181" fontId="2" fillId="3" borderId="3" xfId="0" applyNumberFormat="1" applyFont="1" applyFill="1" applyBorder="1" applyProtection="1">
      <protection hidden="1"/>
    </xf>
    <xf numFmtId="181" fontId="2" fillId="2" borderId="2" xfId="0" applyNumberFormat="1" applyFont="1" applyFill="1" applyBorder="1" applyProtection="1">
      <protection hidden="1"/>
    </xf>
    <xf numFmtId="181" fontId="2" fillId="2" borderId="3" xfId="0" applyNumberFormat="1" applyFont="1" applyFill="1" applyBorder="1" applyProtection="1">
      <protection hidden="1"/>
    </xf>
    <xf numFmtId="181" fontId="1" fillId="0" borderId="10" xfId="0" applyNumberFormat="1" applyFont="1" applyBorder="1" applyProtection="1">
      <protection locked="0"/>
    </xf>
    <xf numFmtId="181" fontId="2" fillId="3" borderId="13" xfId="0" applyNumberFormat="1" applyFont="1" applyFill="1" applyBorder="1" applyProtection="1">
      <protection hidden="1"/>
    </xf>
    <xf numFmtId="181" fontId="2" fillId="3" borderId="8" xfId="0" applyNumberFormat="1" applyFont="1" applyFill="1" applyBorder="1" applyProtection="1">
      <protection hidden="1"/>
    </xf>
    <xf numFmtId="181" fontId="2" fillId="2" borderId="13" xfId="0" applyNumberFormat="1" applyFont="1" applyFill="1" applyBorder="1" applyProtection="1">
      <protection hidden="1"/>
    </xf>
    <xf numFmtId="181" fontId="2" fillId="2" borderId="8" xfId="0" applyNumberFormat="1" applyFont="1" applyFill="1" applyBorder="1" applyProtection="1">
      <protection hidden="1"/>
    </xf>
    <xf numFmtId="181" fontId="1" fillId="0" borderId="15" xfId="0" applyNumberFormat="1" applyFont="1" applyBorder="1" applyProtection="1">
      <protection hidden="1"/>
    </xf>
    <xf numFmtId="181" fontId="1" fillId="0" borderId="12" xfId="0" applyNumberFormat="1" applyFont="1" applyBorder="1" applyProtection="1">
      <protection hidden="1"/>
    </xf>
    <xf numFmtId="181" fontId="1" fillId="0" borderId="0" xfId="0" applyNumberFormat="1" applyFont="1" applyProtection="1">
      <protection hidden="1"/>
    </xf>
    <xf numFmtId="181" fontId="1" fillId="0" borderId="5" xfId="0" applyNumberFormat="1" applyFont="1" applyBorder="1" applyProtection="1">
      <protection hidden="1"/>
    </xf>
    <xf numFmtId="181" fontId="2" fillId="0" borderId="5" xfId="0" applyNumberFormat="1" applyFont="1" applyBorder="1" applyProtection="1">
      <protection locked="0"/>
    </xf>
    <xf numFmtId="181" fontId="2" fillId="0" borderId="5" xfId="0" applyNumberFormat="1" applyFont="1" applyBorder="1" applyProtection="1">
      <protection hidden="1"/>
    </xf>
    <xf numFmtId="181" fontId="11" fillId="0" borderId="1" xfId="0" applyNumberFormat="1" applyFont="1" applyBorder="1"/>
    <xf numFmtId="181" fontId="11" fillId="0" borderId="2" xfId="0" applyNumberFormat="1" applyFont="1" applyBorder="1"/>
    <xf numFmtId="181" fontId="11" fillId="0" borderId="4" xfId="0" applyNumberFormat="1" applyFont="1" applyBorder="1"/>
    <xf numFmtId="181" fontId="11" fillId="0" borderId="3" xfId="0" applyNumberFormat="1" applyFont="1" applyBorder="1"/>
    <xf numFmtId="181" fontId="11" fillId="0" borderId="5" xfId="0" applyNumberFormat="1" applyFont="1" applyBorder="1"/>
    <xf numFmtId="181" fontId="7" fillId="0" borderId="14" xfId="0" applyNumberFormat="1" applyFont="1" applyBorder="1"/>
    <xf numFmtId="181" fontId="7" fillId="0" borderId="0" xfId="0" applyNumberFormat="1" applyFont="1"/>
    <xf numFmtId="181" fontId="7" fillId="0" borderId="6" xfId="0" applyNumberFormat="1" applyFont="1" applyBorder="1"/>
    <xf numFmtId="181" fontId="11" fillId="0" borderId="7" xfId="0" applyNumberFormat="1" applyFont="1" applyBorder="1"/>
    <xf numFmtId="0" fontId="42" fillId="0" borderId="3" xfId="2" applyFont="1" applyBorder="1" applyAlignment="1">
      <alignment wrapText="1"/>
    </xf>
    <xf numFmtId="181" fontId="1" fillId="0" borderId="12" xfId="0" applyNumberFormat="1" applyFont="1" applyBorder="1" applyProtection="1">
      <protection locked="0"/>
    </xf>
    <xf numFmtId="181" fontId="1" fillId="0" borderId="9" xfId="0" applyNumberFormat="1" applyFont="1" applyBorder="1" applyProtection="1">
      <protection locked="0"/>
    </xf>
    <xf numFmtId="181" fontId="1" fillId="0" borderId="15" xfId="0" applyNumberFormat="1" applyFont="1" applyBorder="1" applyProtection="1">
      <protection locked="0"/>
    </xf>
    <xf numFmtId="181" fontId="1" fillId="0" borderId="14" xfId="0" applyNumberFormat="1" applyFont="1" applyBorder="1" applyProtection="1">
      <protection hidden="1"/>
    </xf>
    <xf numFmtId="181" fontId="1" fillId="0" borderId="13" xfId="0" applyNumberFormat="1" applyFont="1" applyBorder="1" applyProtection="1">
      <protection hidden="1"/>
    </xf>
    <xf numFmtId="181" fontId="1" fillId="0" borderId="9" xfId="0" applyNumberFormat="1" applyFont="1" applyBorder="1" applyProtection="1">
      <protection hidden="1"/>
    </xf>
    <xf numFmtId="181" fontId="1" fillId="0" borderId="14" xfId="0" applyNumberFormat="1" applyFont="1" applyBorder="1" applyProtection="1">
      <protection locked="0"/>
    </xf>
    <xf numFmtId="181" fontId="1" fillId="0" borderId="13" xfId="0" applyNumberFormat="1" applyFont="1" applyBorder="1" applyProtection="1">
      <protection locked="0"/>
    </xf>
    <xf numFmtId="181" fontId="2" fillId="3" borderId="0" xfId="0" applyNumberFormat="1" applyFont="1" applyFill="1" applyProtection="1">
      <protection hidden="1"/>
    </xf>
    <xf numFmtId="181" fontId="2" fillId="3" borderId="5" xfId="0" applyNumberFormat="1" applyFont="1" applyFill="1" applyBorder="1" applyProtection="1">
      <protection hidden="1"/>
    </xf>
    <xf numFmtId="181" fontId="2" fillId="0" borderId="10" xfId="0" applyNumberFormat="1" applyFont="1" applyBorder="1" applyProtection="1">
      <protection locked="0"/>
    </xf>
    <xf numFmtId="181" fontId="2" fillId="0" borderId="7" xfId="0" applyNumberFormat="1" applyFont="1" applyBorder="1" applyProtection="1">
      <protection locked="0"/>
    </xf>
    <xf numFmtId="3" fontId="2" fillId="0" borderId="5" xfId="0" applyNumberFormat="1" applyFont="1" applyBorder="1" applyProtection="1">
      <protection locked="0"/>
    </xf>
    <xf numFmtId="181" fontId="2" fillId="0" borderId="7" xfId="0" applyNumberFormat="1" applyFont="1" applyBorder="1" applyProtection="1">
      <protection hidden="1"/>
    </xf>
    <xf numFmtId="0" fontId="2" fillId="6" borderId="15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5" xfId="0" applyFont="1" applyFill="1" applyBorder="1" applyAlignment="1" applyProtection="1">
      <alignment horizontal="center"/>
      <protection locked="0"/>
    </xf>
    <xf numFmtId="0" fontId="2" fillId="6" borderId="11" xfId="0" applyFont="1" applyFill="1" applyBorder="1" applyAlignment="1" applyProtection="1">
      <alignment horizontal="center"/>
      <protection locked="0"/>
    </xf>
    <xf numFmtId="0" fontId="34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44" fillId="0" borderId="1" xfId="2" applyFont="1" applyBorder="1" applyAlignment="1">
      <alignment horizontal="center"/>
    </xf>
    <xf numFmtId="0" fontId="44" fillId="0" borderId="2" xfId="2" applyFont="1" applyBorder="1" applyAlignment="1">
      <alignment horizontal="center"/>
    </xf>
    <xf numFmtId="0" fontId="44" fillId="0" borderId="4" xfId="2" applyFont="1" applyBorder="1" applyAlignment="1">
      <alignment horizontal="center"/>
    </xf>
  </cellXfs>
  <cellStyles count="8">
    <cellStyle name="Comma 2" xfId="3" xr:uid="{12C03ACD-6A05-334B-B129-176645862FFC}"/>
    <cellStyle name="Currency 2" xfId="7" xr:uid="{0F514FB0-3204-AE4C-9985-B4B237D84C03}"/>
    <cellStyle name="Heading 1 2" xfId="4" xr:uid="{32E83772-EEAC-AC4E-B42D-8B28D2D2053A}"/>
    <cellStyle name="Hyperlink" xfId="1" xr:uid="{D2B4A85D-8B67-F94A-88AE-3F241F3F2520}"/>
    <cellStyle name="Hyperlink 2" xfId="5" xr:uid="{7F5F2729-6FAF-924D-9ACF-7268000361A7}"/>
    <cellStyle name="Normal" xfId="0" builtinId="0"/>
    <cellStyle name="Normal 2" xfId="2" xr:uid="{2465C2EB-4F0E-E541-8669-A8014F1387D1}"/>
    <cellStyle name="Percent 2" xfId="6" xr:uid="{68915F0E-33FC-8949-A320-F55FD59039BA}"/>
  </cellStyles>
  <dxfs count="11">
    <dxf>
      <fill>
        <patternFill>
          <bgColor rgb="FF85BC21"/>
        </patternFill>
      </fill>
    </dxf>
    <dxf>
      <font>
        <color rgb="FFFF0000"/>
      </font>
    </dxf>
    <dxf>
      <font>
        <color rgb="FF6A9F42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85BC21"/>
        </patternFill>
      </fill>
    </dxf>
    <dxf>
      <fill>
        <patternFill>
          <bgColor rgb="FF85BC21"/>
        </patternFill>
      </fill>
    </dxf>
    <dxf>
      <fill>
        <patternFill>
          <bgColor rgb="FF85BC21"/>
        </patternFill>
      </fill>
    </dxf>
    <dxf>
      <fill>
        <patternFill>
          <bgColor rgb="FF85BC21"/>
        </patternFill>
      </fill>
    </dxf>
    <dxf>
      <fill>
        <patternFill>
          <bgColor rgb="FF85BC21"/>
        </patternFill>
      </fill>
    </dxf>
    <dxf>
      <fill>
        <patternFill>
          <bgColor rgb="FF85BC21"/>
        </patternFill>
      </fill>
    </dxf>
    <dxf>
      <fill>
        <patternFill>
          <bgColor rgb="FF85BC21"/>
        </patternFill>
      </fill>
    </dxf>
  </dxfs>
  <tableStyles count="0" defaultTableStyle="TableStyleMedium2" defaultPivotStyle="PivotStyleLight16"/>
  <colors>
    <mruColors>
      <color rgb="FF85BC21"/>
      <color rgb="FFD5E4B9"/>
      <color rgb="FFC0C0C0"/>
      <color rgb="FF0051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 Breakeven-Analyse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654557307382559E-2"/>
          <c:y val="9.1336682427107962E-2"/>
          <c:w val="0.91443758783854279"/>
          <c:h val="0.82524350347164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Breakeven'!$B$34</c:f>
              <c:strCache>
                <c:ptCount val="1"/>
                <c:pt idx="0">
                  <c:v>Umsatz</c:v>
                </c:pt>
              </c:strCache>
            </c:strRef>
          </c:tx>
          <c:spPr>
            <a:solidFill>
              <a:srgbClr val="85BC21"/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'4 Breakeven'!$C$33:$F$33</c:f>
              <c:strCache>
                <c:ptCount val="4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</c:strCache>
            </c:strRef>
          </c:cat>
          <c:val>
            <c:numRef>
              <c:f>'4 Breakeven'!$C$34:$F$34</c:f>
              <c:numCache>
                <c:formatCode>_-* #,##0.00\ "€"_-;\-* #,##0.00\ "€"_-;_-* "-"??\ "€"_-;_-@_-</c:formatCode>
                <c:ptCount val="4"/>
                <c:pt idx="0">
                  <c:v>0</c:v>
                </c:pt>
                <c:pt idx="1">
                  <c:v>197559</c:v>
                </c:pt>
                <c:pt idx="2">
                  <c:v>377318</c:v>
                </c:pt>
                <c:pt idx="3">
                  <c:v>750788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DF-E244-8247-F40305C0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6511616"/>
        <c:axId val="1926519520"/>
      </c:barChart>
      <c:lineChart>
        <c:grouping val="standard"/>
        <c:varyColors val="0"/>
        <c:ser>
          <c:idx val="1"/>
          <c:order val="1"/>
          <c:tx>
            <c:strRef>
              <c:f>'4 Breakeven'!$B$35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rgbClr val="005176"/>
              </a:solidFill>
              <a:round/>
            </a:ln>
            <a:effectLst/>
          </c:spPr>
          <c:marker>
            <c:symbol val="none"/>
          </c:marker>
          <c:val>
            <c:numRef>
              <c:f>'4 Breakeven'!$C$35:$F$35</c:f>
              <c:numCache>
                <c:formatCode>_-* #,##0.00\ "€"_-;\-* #,##0.00\ "€"_-;_-* "-"??\ "€"_-;_-@_-</c:formatCode>
                <c:ptCount val="4"/>
                <c:pt idx="0">
                  <c:v>-148821</c:v>
                </c:pt>
                <c:pt idx="1">
                  <c:v>48738</c:v>
                </c:pt>
                <c:pt idx="2">
                  <c:v>158912</c:v>
                </c:pt>
                <c:pt idx="3">
                  <c:v>431151.6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DF-E244-8247-F40305C0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511616"/>
        <c:axId val="1926519520"/>
      </c:lineChart>
      <c:catAx>
        <c:axId val="19265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926519520"/>
        <c:crosses val="autoZero"/>
        <c:auto val="1"/>
        <c:lblAlgn val="ctr"/>
        <c:lblOffset val="100"/>
        <c:noMultiLvlLbl val="0"/>
      </c:catAx>
      <c:valAx>
        <c:axId val="19265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.0,,\ &quot;M. 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9265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992603286548549"/>
          <c:y val="0.95221055452803482"/>
          <c:w val="0.1645461228103062"/>
          <c:h val="4.7264231504454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alpha val="94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85759</xdr:colOff>
      <xdr:row>0</xdr:row>
      <xdr:rowOff>0</xdr:rowOff>
    </xdr:from>
    <xdr:to>
      <xdr:col>4</xdr:col>
      <xdr:colOff>534318</xdr:colOff>
      <xdr:row>1</xdr:row>
      <xdr:rowOff>69001</xdr:rowOff>
    </xdr:to>
    <xdr:pic>
      <xdr:nvPicPr>
        <xdr:cNvPr id="3" name="Grafik 9">
          <a:extLst>
            <a:ext uri="{FF2B5EF4-FFF2-40B4-BE49-F238E27FC236}">
              <a16:creationId xmlns:a16="http://schemas.microsoft.com/office/drawing/2014/main" id="{517BBDAD-58CA-FBFC-962B-8788EF0E3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1659" y="0"/>
          <a:ext cx="2963159" cy="1339001"/>
        </a:xfrm>
        <a:prstGeom prst="rect">
          <a:avLst/>
        </a:prstGeom>
      </xdr:spPr>
    </xdr:pic>
    <xdr:clientData/>
  </xdr:twoCellAnchor>
  <xdr:twoCellAnchor editAs="oneCell">
    <xdr:from>
      <xdr:col>15</xdr:col>
      <xdr:colOff>736600</xdr:colOff>
      <xdr:row>7</xdr:row>
      <xdr:rowOff>434273</xdr:rowOff>
    </xdr:from>
    <xdr:to>
      <xdr:col>22</xdr:col>
      <xdr:colOff>660400</xdr:colOff>
      <xdr:row>11</xdr:row>
      <xdr:rowOff>245482</xdr:rowOff>
    </xdr:to>
    <xdr:pic>
      <xdr:nvPicPr>
        <xdr:cNvPr id="4" name="Grafik 15">
          <a:extLst>
            <a:ext uri="{FF2B5EF4-FFF2-40B4-BE49-F238E27FC236}">
              <a16:creationId xmlns:a16="http://schemas.microsoft.com/office/drawing/2014/main" id="{720C26FE-F482-44F5-A577-8B84B6048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87300" y="4510973"/>
          <a:ext cx="5791200" cy="2198809"/>
        </a:xfrm>
        <a:prstGeom prst="rect">
          <a:avLst/>
        </a:prstGeom>
      </xdr:spPr>
    </xdr:pic>
    <xdr:clientData/>
  </xdr:twoCellAnchor>
  <xdr:twoCellAnchor>
    <xdr:from>
      <xdr:col>8</xdr:col>
      <xdr:colOff>444500</xdr:colOff>
      <xdr:row>10</xdr:row>
      <xdr:rowOff>128109</xdr:rowOff>
    </xdr:from>
    <xdr:to>
      <xdr:col>9</xdr:col>
      <xdr:colOff>63500</xdr:colOff>
      <xdr:row>11</xdr:row>
      <xdr:rowOff>33944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9AB9766-A336-3FAF-DA5B-5532EC63C228}"/>
            </a:ext>
          </a:extLst>
        </xdr:cNvPr>
        <xdr:cNvGrpSpPr/>
      </xdr:nvGrpSpPr>
      <xdr:grpSpPr>
        <a:xfrm>
          <a:off x="6547097" y="5966810"/>
          <a:ext cx="460169" cy="499602"/>
          <a:chOff x="5505723" y="3097158"/>
          <a:chExt cx="1432552" cy="1575227"/>
        </a:xfrm>
        <a:solidFill>
          <a:srgbClr val="005176"/>
        </a:solidFill>
      </xdr:grpSpPr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3FFF6AA9-1D61-C0D0-A454-8B2793CEB142}"/>
              </a:ext>
            </a:extLst>
          </xdr:cNvPr>
          <xdr:cNvSpPr/>
        </xdr:nvSpPr>
        <xdr:spPr>
          <a:xfrm>
            <a:off x="5764777" y="3404625"/>
            <a:ext cx="128873" cy="47625"/>
          </a:xfrm>
          <a:custGeom>
            <a:avLst/>
            <a:gdLst>
              <a:gd name="connsiteX0" fmla="*/ 127311 w 128873"/>
              <a:gd name="connsiteY0" fmla="*/ 24117 h 47625"/>
              <a:gd name="connsiteX1" fmla="*/ 128873 w 128873"/>
              <a:gd name="connsiteY1" fmla="*/ 0 h 47625"/>
              <a:gd name="connsiteX2" fmla="*/ 0 w 128873"/>
              <a:gd name="connsiteY2" fmla="*/ 0 h 47625"/>
              <a:gd name="connsiteX3" fmla="*/ 0 w 128873"/>
              <a:gd name="connsiteY3" fmla="*/ 47625 h 47625"/>
              <a:gd name="connsiteX4" fmla="*/ 128778 w 128873"/>
              <a:gd name="connsiteY4" fmla="*/ 47625 h 47625"/>
              <a:gd name="connsiteX5" fmla="*/ 127311 w 128873"/>
              <a:gd name="connsiteY5" fmla="*/ 24117 h 476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28873" h="47625">
                <a:moveTo>
                  <a:pt x="127311" y="24117"/>
                </a:moveTo>
                <a:cubicBezTo>
                  <a:pt x="127354" y="16054"/>
                  <a:pt x="127875" y="8001"/>
                  <a:pt x="128873" y="0"/>
                </a:cubicBezTo>
                <a:lnTo>
                  <a:pt x="0" y="0"/>
                </a:lnTo>
                <a:lnTo>
                  <a:pt x="0" y="47625"/>
                </a:lnTo>
                <a:lnTo>
                  <a:pt x="128778" y="47625"/>
                </a:lnTo>
                <a:cubicBezTo>
                  <a:pt x="127836" y="39824"/>
                  <a:pt x="127346" y="31975"/>
                  <a:pt x="127311" y="24117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F9A7EE3E-DF1A-C3B2-15A4-43EA98CA62D7}"/>
              </a:ext>
            </a:extLst>
          </xdr:cNvPr>
          <xdr:cNvSpPr/>
        </xdr:nvSpPr>
        <xdr:spPr>
          <a:xfrm>
            <a:off x="6072244" y="3097158"/>
            <a:ext cx="47625" cy="129130"/>
          </a:xfrm>
          <a:custGeom>
            <a:avLst/>
            <a:gdLst>
              <a:gd name="connsiteX0" fmla="*/ 23813 w 47625"/>
              <a:gd name="connsiteY0" fmla="*/ 127616 h 129130"/>
              <a:gd name="connsiteX1" fmla="*/ 47625 w 47625"/>
              <a:gd name="connsiteY1" fmla="*/ 129130 h 129130"/>
              <a:gd name="connsiteX2" fmla="*/ 47625 w 47625"/>
              <a:gd name="connsiteY2" fmla="*/ 0 h 129130"/>
              <a:gd name="connsiteX3" fmla="*/ 0 w 47625"/>
              <a:gd name="connsiteY3" fmla="*/ 0 h 129130"/>
              <a:gd name="connsiteX4" fmla="*/ 0 w 47625"/>
              <a:gd name="connsiteY4" fmla="*/ 129130 h 129130"/>
              <a:gd name="connsiteX5" fmla="*/ 23813 w 47625"/>
              <a:gd name="connsiteY5" fmla="*/ 127616 h 1291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47625" h="129130">
                <a:moveTo>
                  <a:pt x="23813" y="127616"/>
                </a:moveTo>
                <a:cubicBezTo>
                  <a:pt x="31773" y="127653"/>
                  <a:pt x="39724" y="128158"/>
                  <a:pt x="47625" y="129130"/>
                </a:cubicBezTo>
                <a:lnTo>
                  <a:pt x="47625" y="0"/>
                </a:lnTo>
                <a:lnTo>
                  <a:pt x="0" y="0"/>
                </a:lnTo>
                <a:lnTo>
                  <a:pt x="0" y="129130"/>
                </a:lnTo>
                <a:cubicBezTo>
                  <a:pt x="7901" y="128158"/>
                  <a:pt x="15852" y="127652"/>
                  <a:pt x="23813" y="127616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FE0D9FB9-3F01-454E-B83D-A701E5CAA6B9}"/>
              </a:ext>
            </a:extLst>
          </xdr:cNvPr>
          <xdr:cNvSpPr/>
        </xdr:nvSpPr>
        <xdr:spPr>
          <a:xfrm>
            <a:off x="6222111" y="3177349"/>
            <a:ext cx="125034" cy="124968"/>
          </a:xfrm>
          <a:custGeom>
            <a:avLst/>
            <a:gdLst>
              <a:gd name="connsiteX0" fmla="*/ 33718 w 125034"/>
              <a:gd name="connsiteY0" fmla="*/ 124968 h 124968"/>
              <a:gd name="connsiteX1" fmla="*/ 125035 w 125034"/>
              <a:gd name="connsiteY1" fmla="*/ 33661 h 124968"/>
              <a:gd name="connsiteX2" fmla="*/ 91364 w 125034"/>
              <a:gd name="connsiteY2" fmla="*/ 0 h 124968"/>
              <a:gd name="connsiteX3" fmla="*/ 0 w 125034"/>
              <a:gd name="connsiteY3" fmla="*/ 91354 h 124968"/>
              <a:gd name="connsiteX4" fmla="*/ 33718 w 125034"/>
              <a:gd name="connsiteY4" fmla="*/ 124968 h 1249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5034" h="124968">
                <a:moveTo>
                  <a:pt x="33718" y="124968"/>
                </a:moveTo>
                <a:lnTo>
                  <a:pt x="125035" y="33661"/>
                </a:lnTo>
                <a:lnTo>
                  <a:pt x="91364" y="0"/>
                </a:lnTo>
                <a:lnTo>
                  <a:pt x="0" y="91354"/>
                </a:lnTo>
                <a:cubicBezTo>
                  <a:pt x="12503" y="101215"/>
                  <a:pt x="23819" y="112495"/>
                  <a:pt x="33718" y="124968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49FDEF23-541E-EE44-2C78-2E12A801C644}"/>
              </a:ext>
            </a:extLst>
          </xdr:cNvPr>
          <xdr:cNvSpPr/>
        </xdr:nvSpPr>
        <xdr:spPr>
          <a:xfrm>
            <a:off x="5844978" y="3177349"/>
            <a:ext cx="125025" cy="124968"/>
          </a:xfrm>
          <a:custGeom>
            <a:avLst/>
            <a:gdLst>
              <a:gd name="connsiteX0" fmla="*/ 125025 w 125025"/>
              <a:gd name="connsiteY0" fmla="*/ 91354 h 124968"/>
              <a:gd name="connsiteX1" fmla="*/ 33671 w 125025"/>
              <a:gd name="connsiteY1" fmla="*/ 0 h 124968"/>
              <a:gd name="connsiteX2" fmla="*/ 0 w 125025"/>
              <a:gd name="connsiteY2" fmla="*/ 33671 h 124968"/>
              <a:gd name="connsiteX3" fmla="*/ 91307 w 125025"/>
              <a:gd name="connsiteY3" fmla="*/ 124968 h 124968"/>
              <a:gd name="connsiteX4" fmla="*/ 125025 w 125025"/>
              <a:gd name="connsiteY4" fmla="*/ 91354 h 1249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5025" h="124968">
                <a:moveTo>
                  <a:pt x="125025" y="91354"/>
                </a:moveTo>
                <a:lnTo>
                  <a:pt x="33671" y="0"/>
                </a:lnTo>
                <a:lnTo>
                  <a:pt x="0" y="33671"/>
                </a:lnTo>
                <a:lnTo>
                  <a:pt x="91307" y="124968"/>
                </a:lnTo>
                <a:cubicBezTo>
                  <a:pt x="101206" y="112495"/>
                  <a:pt x="112522" y="101215"/>
                  <a:pt x="125025" y="91354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035100DE-D1F5-7D42-D3A6-2150F83FBBFF}"/>
              </a:ext>
            </a:extLst>
          </xdr:cNvPr>
          <xdr:cNvSpPr/>
        </xdr:nvSpPr>
        <xdr:spPr>
          <a:xfrm>
            <a:off x="6298463" y="3404625"/>
            <a:ext cx="128873" cy="47625"/>
          </a:xfrm>
          <a:custGeom>
            <a:avLst/>
            <a:gdLst>
              <a:gd name="connsiteX0" fmla="*/ 0 w 128873"/>
              <a:gd name="connsiteY0" fmla="*/ 0 h 47625"/>
              <a:gd name="connsiteX1" fmla="*/ 95 w 128873"/>
              <a:gd name="connsiteY1" fmla="*/ 47625 h 47625"/>
              <a:gd name="connsiteX2" fmla="*/ 128873 w 128873"/>
              <a:gd name="connsiteY2" fmla="*/ 47625 h 47625"/>
              <a:gd name="connsiteX3" fmla="*/ 128873 w 128873"/>
              <a:gd name="connsiteY3" fmla="*/ 0 h 476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28873" h="47625">
                <a:moveTo>
                  <a:pt x="0" y="0"/>
                </a:moveTo>
                <a:cubicBezTo>
                  <a:pt x="2051" y="15807"/>
                  <a:pt x="2082" y="31811"/>
                  <a:pt x="95" y="47625"/>
                </a:cubicBezTo>
                <a:lnTo>
                  <a:pt x="128873" y="47625"/>
                </a:lnTo>
                <a:lnTo>
                  <a:pt x="128873" y="0"/>
                </a:ln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pic>
        <xdr:nvPicPr>
          <xdr:cNvPr id="12" name="Graphic 29" descr="Right pointing backhand index with solid fill">
            <a:extLst>
              <a:ext uri="{FF2B5EF4-FFF2-40B4-BE49-F238E27FC236}">
                <a16:creationId xmlns:a16="http://schemas.microsoft.com/office/drawing/2014/main" id="{65544A2F-29AA-BF58-2AC9-F6FED98BC1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 rot="16200000">
            <a:off x="5505723" y="3239833"/>
            <a:ext cx="1432552" cy="143255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120578</xdr:colOff>
      <xdr:row>4</xdr:row>
      <xdr:rowOff>168842</xdr:rowOff>
    </xdr:from>
    <xdr:to>
      <xdr:col>10</xdr:col>
      <xdr:colOff>1095430</xdr:colOff>
      <xdr:row>30</xdr:row>
      <xdr:rowOff>177800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B5299674-C20C-8F43-8715-FEC32E8C2AF3}"/>
            </a:ext>
            <a:ext uri="{147F2762-F138-4A5C-976F-8EAC2B608ADB}">
              <a16:predDERef xmlns:a16="http://schemas.microsoft.com/office/drawing/2014/main" pred="{B6C4ADD7-0757-0A96-B4A0-93697E892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rcmarlonbecker/Downloads/SCORE%20Financial%20Projections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b-IncomeStatementYrs1-3"/>
      <sheetName val="3b-SalesForecastYrs1-3"/>
      <sheetName val="6a-CashFlowYear1"/>
    </sheetNames>
    <sheetDataSet>
      <sheetData sheetId="0" refreshError="1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k Pschack" id="{9E149798-0758-2342-BCF8-72C015C0D68E}" userId="S::Mark.Pschack@uzk.onmicrosoft.com::026d870c-53a2-4ade-b562-cd25188c6daf" providerId="AD"/>
  <person displayName="Mark Pschack" id="{BE9355CD-63AE-5E48-808E-A41628E25DC6}" userId="S::mark.pschack@uzk.onmicrosoft.com::026d870c-53a2-4ade-b562-cd25188c6d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5" dT="2026-05-17T13:28:01.65" personId="{BE9355CD-63AE-5E48-808E-A41628E25DC6}" id="{1F135B40-11E5-A84B-BA9E-8A52B8A18CA8}">
    <text>Conversion von 4 der anfänglichen 6 Pilotvereine (Verpflichtung des Kaufe eines Pro-Abonnement)</text>
  </threadedComment>
  <threadedComment ref="O21" dT="2026-05-17T13:31:58.38" personId="{BE9355CD-63AE-5E48-808E-A41628E25DC6}" id="{EB215AC3-2A40-A247-B73F-5F176ABEFF33}">
    <text>Conversion von 4 der anfänglichen 6 Pilotvereine (Verpflichtung des Kaufe eines Pro- oder Elite Abonnement)</text>
  </threadedComment>
  <threadedComment ref="AD27" dT="2026-05-17T21:14:56.40" personId="{9E149798-0758-2342-BCF8-72C015C0D68E}" id="{E0AF5545-2BF8-AF48-AD18-3C52581D3A19}">
    <text>Vertragslaufzeit von Vereinen die Vertrag im Jahr 2 abgeschlossen haben endet. 7 Vereine sind im Jahr 4 abgesprungen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7" dT="2026-05-18T10:37:05.82" personId="{BE9355CD-63AE-5E48-808E-A41628E25DC6}" id="{8F802C41-5EA9-D845-B1DB-A603FFB27B59}">
    <text>3 Jahre Abschreibung (Laptop + Performance-Tracking Geräte)</text>
  </threadedComment>
  <threadedComment ref="O17" dT="2026-05-18T10:44:31.84" personId="{BE9355CD-63AE-5E48-808E-A41628E25DC6}" id="{2A46CAE1-27E8-7A40-9C3D-DDF8CA0CD21A}">
    <text>Statt 10 Monate über 12 Monate abgeschrieben. Vereinfachen der Rechnung</text>
  </threadedComment>
  <threadedComment ref="B18" dT="2026-05-18T10:36:56.05" personId="{BE9355CD-63AE-5E48-808E-A41628E25DC6}" id="{5DE149BF-C77F-0C4D-87A8-3FC03DC17DE4}">
    <text>3 Jahre Abschreibung</text>
  </threadedComment>
  <threadedComment ref="O18" dT="2026-05-18T10:36:08.33" personId="{BE9355CD-63AE-5E48-808E-A41628E25DC6}" id="{13BB4885-F35F-DD43-8460-589FEF0D2F1A}">
    <text>Statt 10 Monate über 12 Monate abgeschrieben. Vereinfachen der Rechnung</text>
  </threadedComment>
  <threadedComment ref="B20" dT="2026-05-18T14:23:51.47" personId="{BE9355CD-63AE-5E48-808E-A41628E25DC6}" id="{E4849039-8428-AC4C-A88E-56DD2C64DBEC}">
    <text>1% RSt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7" dT="2026-05-24T18:54:29.75" personId="{BE9355CD-63AE-5E48-808E-A41628E25DC6}" id="{A944FF07-6570-4C4F-9363-07966DF8CCDD}">
    <text>100.000 EUR EK-Finanzierung</text>
  </threadedComment>
  <threadedComment ref="I7" dT="2026-05-24T18:55:19.04" personId="{9E149798-0758-2342-BCF8-72C015C0D68E}" id="{8C771CA3-E858-AB47-835A-89543C45C373}">
    <text>EXIST Sachmittel</text>
  </threadedComment>
  <threadedComment ref="S7" dT="2026-05-24T20:31:23.91" personId="{9E149798-0758-2342-BCF8-72C015C0D68E}" id="{FCE4E133-EA6C-F045-8678-A1DBA8B7ADC0}">
    <text>KFW Gründungskredit
1 Jahr Tilgungsfrei
Laufzeit Rückzahlung 4 Jahre
4.5%  p.A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C892C3-61CC-A241-92B2-9F5949BCE33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b79e35d-4fd4-4e9a-aa0c-0d3f7b4431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der@wiso.uni-koeln.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eglaubigt.de/blog/was-kostet-es-eine-gmbh-zu-gruenden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E1A7-7166-E442-AE51-34942910ED05}">
  <dimension ref="B1:AI17"/>
  <sheetViews>
    <sheetView showGridLines="0" zoomScale="77" zoomScaleNormal="77" workbookViewId="0">
      <selection activeCell="Z10" sqref="Z10"/>
    </sheetView>
  </sheetViews>
  <sheetFormatPr baseColWidth="10" defaultColWidth="11" defaultRowHeight="16" x14ac:dyDescent="0.2"/>
  <cols>
    <col min="1" max="1" width="2.83203125" style="44" customWidth="1"/>
    <col min="2" max="4" width="11" style="44" customWidth="1"/>
    <col min="5" max="8" width="11" style="44"/>
    <col min="9" max="9" width="11" style="44" customWidth="1"/>
    <col min="10" max="16384" width="11" style="44"/>
  </cols>
  <sheetData>
    <row r="1" spans="2:35" ht="100" customHeight="1" x14ac:dyDescent="0.2"/>
    <row r="2" spans="2:35" ht="17" customHeight="1" x14ac:dyDescent="0.2"/>
    <row r="3" spans="2:35" x14ac:dyDescent="0.2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44"/>
      <c r="Q3" s="144"/>
      <c r="R3" s="144"/>
      <c r="S3" s="144"/>
      <c r="T3" s="144"/>
      <c r="U3" s="144"/>
      <c r="V3" s="144"/>
      <c r="W3" s="144"/>
    </row>
    <row r="4" spans="2:35" ht="47" customHeight="1" x14ac:dyDescent="0.45">
      <c r="B4" s="140"/>
      <c r="C4" s="140" t="s">
        <v>68</v>
      </c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44"/>
      <c r="Q4" s="150" t="s">
        <v>62</v>
      </c>
      <c r="R4" s="144"/>
      <c r="S4" s="144"/>
      <c r="T4" s="144"/>
      <c r="U4" s="144"/>
      <c r="V4" s="144"/>
      <c r="W4" s="144"/>
    </row>
    <row r="5" spans="2:35" ht="47" customHeight="1" x14ac:dyDescent="0.35">
      <c r="B5" s="141">
        <v>1</v>
      </c>
      <c r="C5" s="142" t="s">
        <v>75</v>
      </c>
      <c r="D5" s="142"/>
      <c r="E5" s="142"/>
      <c r="F5" s="142"/>
      <c r="G5" s="142"/>
      <c r="H5" s="139"/>
      <c r="I5" s="139"/>
      <c r="J5" s="139"/>
      <c r="K5" s="139"/>
      <c r="L5" s="139"/>
      <c r="M5" s="139"/>
      <c r="N5" s="139"/>
      <c r="O5" s="139"/>
      <c r="P5" s="144"/>
      <c r="Q5" s="148" t="s">
        <v>60</v>
      </c>
      <c r="R5" s="144"/>
      <c r="S5" s="144"/>
      <c r="T5" s="149" t="s">
        <v>61</v>
      </c>
      <c r="U5" s="144"/>
      <c r="V5" s="145"/>
      <c r="W5" s="144"/>
      <c r="AF5" s="79"/>
    </row>
    <row r="6" spans="2:35" ht="47" customHeight="1" x14ac:dyDescent="0.35">
      <c r="B6" s="141">
        <v>2</v>
      </c>
      <c r="C6" s="142" t="s">
        <v>69</v>
      </c>
      <c r="D6" s="142"/>
      <c r="E6" s="142"/>
      <c r="F6" s="142"/>
      <c r="G6" s="142"/>
      <c r="H6" s="139"/>
      <c r="I6" s="139"/>
      <c r="J6" s="139"/>
      <c r="K6" s="139"/>
      <c r="L6" s="139"/>
      <c r="M6" s="139"/>
      <c r="N6" s="139"/>
      <c r="O6" s="139"/>
      <c r="P6" s="144"/>
      <c r="Q6" s="148" t="s">
        <v>58</v>
      </c>
      <c r="R6" s="144"/>
      <c r="S6" s="144"/>
      <c r="T6" s="144"/>
      <c r="U6" s="144"/>
      <c r="V6" s="145"/>
      <c r="W6" s="144"/>
      <c r="AF6" s="79"/>
    </row>
    <row r="7" spans="2:35" ht="47" customHeight="1" x14ac:dyDescent="0.35">
      <c r="B7" s="141">
        <v>3</v>
      </c>
      <c r="C7" s="142" t="s">
        <v>70</v>
      </c>
      <c r="D7" s="142"/>
      <c r="E7" s="142"/>
      <c r="F7" s="142"/>
      <c r="G7" s="142"/>
      <c r="H7" s="139"/>
      <c r="I7" s="139"/>
      <c r="J7" s="139"/>
      <c r="K7" s="139"/>
      <c r="L7" s="139"/>
      <c r="M7" s="139"/>
      <c r="N7" s="139"/>
      <c r="O7" s="139"/>
      <c r="P7" s="144"/>
      <c r="Q7" s="148" t="s">
        <v>59</v>
      </c>
      <c r="R7" s="144"/>
      <c r="S7" s="144"/>
      <c r="T7" s="144"/>
      <c r="U7" s="144"/>
      <c r="V7" s="145"/>
      <c r="W7" s="144"/>
      <c r="AF7" s="79"/>
    </row>
    <row r="8" spans="2:35" ht="47" customHeight="1" x14ac:dyDescent="0.35">
      <c r="B8" s="141">
        <v>4</v>
      </c>
      <c r="C8" s="142" t="s">
        <v>71</v>
      </c>
      <c r="D8" s="142"/>
      <c r="E8" s="142"/>
      <c r="F8" s="142"/>
      <c r="G8" s="142"/>
      <c r="H8" s="139"/>
      <c r="I8" s="139"/>
      <c r="J8" s="139"/>
      <c r="K8" s="139"/>
      <c r="L8" s="139"/>
      <c r="M8" s="139"/>
      <c r="N8" s="139"/>
      <c r="O8" s="139"/>
      <c r="P8" s="144"/>
      <c r="Q8" s="144"/>
      <c r="R8" s="144"/>
      <c r="S8" s="144"/>
      <c r="T8" s="144"/>
      <c r="U8" s="144"/>
      <c r="V8" s="144"/>
      <c r="W8" s="144"/>
      <c r="AF8" s="79"/>
    </row>
    <row r="9" spans="2:35" ht="47" customHeight="1" x14ac:dyDescent="0.35">
      <c r="B9" s="141">
        <v>5</v>
      </c>
      <c r="C9" s="142" t="s">
        <v>72</v>
      </c>
      <c r="D9" s="142"/>
      <c r="E9" s="142"/>
      <c r="F9" s="142"/>
      <c r="G9" s="142"/>
      <c r="H9" s="139"/>
      <c r="I9" s="139"/>
      <c r="J9" s="139"/>
      <c r="K9" s="139"/>
      <c r="L9" s="139"/>
      <c r="M9" s="139"/>
      <c r="N9" s="139"/>
      <c r="O9" s="139"/>
      <c r="P9" s="144"/>
      <c r="Q9" s="144"/>
      <c r="R9" s="144"/>
      <c r="S9" s="144"/>
      <c r="T9" s="144"/>
      <c r="U9" s="144"/>
      <c r="V9" s="144"/>
      <c r="W9" s="144"/>
    </row>
    <row r="10" spans="2:35" ht="47" customHeight="1" x14ac:dyDescent="0.35">
      <c r="B10" s="141">
        <v>6</v>
      </c>
      <c r="C10" s="142" t="s">
        <v>73</v>
      </c>
      <c r="D10" s="142"/>
      <c r="E10" s="142"/>
      <c r="F10" s="142"/>
      <c r="G10" s="142"/>
      <c r="H10" s="139"/>
      <c r="I10" s="139"/>
      <c r="J10" s="139"/>
      <c r="K10" s="139"/>
      <c r="L10" s="139"/>
      <c r="M10" s="139"/>
      <c r="N10" s="139"/>
      <c r="O10" s="139"/>
      <c r="P10" s="144"/>
      <c r="Q10" s="144"/>
      <c r="R10" s="144"/>
      <c r="S10" s="144"/>
      <c r="T10" s="144"/>
      <c r="U10" s="144"/>
      <c r="V10" s="144"/>
      <c r="W10" s="144"/>
    </row>
    <row r="11" spans="2:35" ht="47" customHeight="1" x14ac:dyDescent="0.35">
      <c r="B11" s="141">
        <v>7</v>
      </c>
      <c r="C11" s="142" t="s">
        <v>74</v>
      </c>
      <c r="D11" s="142"/>
      <c r="E11" s="142"/>
      <c r="F11" s="142"/>
      <c r="G11" s="142"/>
      <c r="H11" s="139"/>
      <c r="I11" s="139"/>
      <c r="J11" s="161" t="s">
        <v>63</v>
      </c>
      <c r="K11" s="139"/>
      <c r="L11" s="139"/>
      <c r="M11" s="139"/>
      <c r="N11" s="139"/>
      <c r="O11" s="139"/>
      <c r="P11" s="144"/>
      <c r="Q11" s="144"/>
      <c r="R11" s="144"/>
      <c r="S11" s="144"/>
      <c r="T11" s="144"/>
      <c r="U11" s="144"/>
      <c r="V11" s="144"/>
      <c r="W11" s="144"/>
      <c r="Z11" s="146"/>
      <c r="AI11" s="147"/>
    </row>
    <row r="12" spans="2:35" ht="20" x14ac:dyDescent="0.2">
      <c r="B12" s="139"/>
      <c r="C12" s="139"/>
      <c r="D12" s="139"/>
      <c r="E12" s="139"/>
      <c r="F12" s="143"/>
      <c r="G12" s="143"/>
      <c r="H12" s="139"/>
      <c r="I12" s="139"/>
      <c r="J12" s="139"/>
      <c r="K12" s="139"/>
      <c r="L12" s="139"/>
      <c r="M12" s="139"/>
      <c r="N12" s="139"/>
      <c r="O12" s="139"/>
      <c r="P12" s="144"/>
      <c r="Q12" s="144"/>
      <c r="R12" s="144"/>
      <c r="S12" s="144"/>
      <c r="T12" s="144"/>
      <c r="U12" s="144"/>
      <c r="V12" s="144"/>
      <c r="W12" s="144"/>
    </row>
    <row r="13" spans="2:35" ht="15" customHeight="1" x14ac:dyDescent="0.2">
      <c r="AA13" s="146"/>
    </row>
    <row r="14" spans="2:35" ht="129" customHeight="1" x14ac:dyDescent="0.2">
      <c r="B14" s="352" t="s">
        <v>203</v>
      </c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3"/>
      <c r="N14" s="353"/>
      <c r="O14" s="353"/>
      <c r="P14" s="353"/>
      <c r="Q14" s="353"/>
      <c r="R14" s="353"/>
      <c r="S14" s="353"/>
      <c r="T14" s="353"/>
      <c r="U14" s="353"/>
      <c r="V14" s="353"/>
      <c r="W14" s="353"/>
      <c r="AA14" s="146"/>
    </row>
    <row r="15" spans="2:35" ht="15" customHeight="1" x14ac:dyDescent="0.2"/>
    <row r="16" spans="2:35" ht="15" customHeight="1" x14ac:dyDescent="0.2"/>
    <row r="17" ht="15" customHeight="1" x14ac:dyDescent="0.2"/>
  </sheetData>
  <mergeCells count="1">
    <mergeCell ref="B14:W14"/>
  </mergeCells>
  <hyperlinks>
    <hyperlink ref="C5:E5" location="'1 Initial investment'!A1" display="Initial Investment" xr:uid="{2DD681A6-343D-3A44-9F1C-018F1D9CA89A}"/>
    <hyperlink ref="C6:E6" location="'2 Product costs'!A1" display="Product Costs" xr:uid="{89D1E84F-707D-6C46-8BED-03923344E156}"/>
    <hyperlink ref="C7:E7" location="'3 Target market'!A1" display="Target Market" xr:uid="{DFA2D058-0707-F04B-812B-DAA605DF9A83}"/>
    <hyperlink ref="C8" location="'4 Competitor Analysis'!A1" display="Competitor Analysis" xr:uid="{40F9818C-9882-0449-A343-FC5AFFE590E3}"/>
    <hyperlink ref="C9:E9" location="'5 Revenues'!A1" display="Revenues" xr:uid="{5E196CEC-8DDB-1248-B23D-0B2E85C3A53D}"/>
    <hyperlink ref="C10:E10" location="'6 Costs'!A1" display="Costs" xr:uid="{3C6D5258-BAD9-F747-8229-255E3CCE74A2}"/>
    <hyperlink ref="C11:E11" location="'7 P&amp;L'!A1" display="Profit and Loss" xr:uid="{9C4F8B66-0B79-844B-AF4E-0CF9E1846962}"/>
    <hyperlink ref="B5:H5" location="'1 Product &amp; Demand Planning'!A1" display="'1 Product &amp; Demand Planning'!A1" xr:uid="{B4E4F7A0-4408-1248-B609-8D1D0FBB5F76}"/>
    <hyperlink ref="B6:H6" location="'2 Investment and Personnel Plan'!A1" display="'2 Investment and Personnel Plan'!A1" xr:uid="{2A1362E4-BE22-B042-8F46-A68749245049}"/>
    <hyperlink ref="B7:H7" location="'3 P&amp;L - Cash Flow'!A1" display="'3 P&amp;L - Cash Flow'!A1" xr:uid="{AC1FB895-2D15-544A-B0B7-E39944C8B65D}"/>
    <hyperlink ref="B8:H8" location="'4 Breakeven'!A1" display="'4 Breakeven'!A1" xr:uid="{6FDDEFEB-811D-5D41-A70F-6B9A024ACF8A}"/>
    <hyperlink ref="B9:H9" location="'5 Liquidity Planning'!A1" display="'5 Liquidity Planning'!A1" xr:uid="{8B72F0A0-0B11-AB4E-9933-C213782C3898}"/>
    <hyperlink ref="B10:H10" location="'6 Capital Requirement'!A1" display="'6 Capital Requirement'!A1" xr:uid="{F52374E9-0C2B-FB4B-AB5E-75231C6E1E85}"/>
    <hyperlink ref="B11:H11" location="'7 Balance Sheet'!A1" display="'7 Balance Sheet'!A1" xr:uid="{6D83A072-6C9A-AA47-BE1D-BBC1A5BD0B24}"/>
    <hyperlink ref="T5" r:id="rId1" xr:uid="{62A9E44B-B28D-194E-988B-A5A4C57C2800}"/>
    <hyperlink ref="B5:I5" location="'1 Produkt- und Absatzplanung'!A1" display="'1 Produkt- und Absatzplanung'!A1" xr:uid="{EC85DC54-A891-914E-8B8D-3ACE5BA20ECF}"/>
    <hyperlink ref="B6:I6" location="'2 Invest- und Personalplanung'!A1" display="'2 Invest- und Personalplanung'!A1" xr:uid="{C4ECA938-DC98-4B4E-93A1-04C88101B5B6}"/>
    <hyperlink ref="B7:I7" location="'3 GuV - Cashflow'!A1" display="'3 GuV - Cashflow'!A1" xr:uid="{F81B4FC1-84B8-C843-BC2E-AB10AD9187B7}"/>
    <hyperlink ref="B8:I8" location="'4 Breakeven'!A1" display="'4 Breakeven'!A1" xr:uid="{68B999D8-ADB1-A041-9F05-7417F1983FB3}"/>
    <hyperlink ref="B9:I9" location="'5 Liquiditätsplanung'!A1" display="'5 Liquiditätsplanung'!A1" xr:uid="{FC7487D8-C8F7-9046-8AD4-A10BF3047350}"/>
    <hyperlink ref="B10:I10" location="'6 Kapitalbedarfsplanung'!A1" display="'6 Kapitalbedarfsplanung'!A1" xr:uid="{CEF34929-6529-2C4F-BF30-E5B6F377A47A}"/>
    <hyperlink ref="B11:I11" location="'7 Bilanz'!A1" display="'7 Bilanz'!A1" xr:uid="{16A57B20-34E5-6C4C-9714-94C3350D2262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FF44-510E-5346-BD07-2B8D418899E1}">
  <sheetPr>
    <pageSetUpPr fitToPage="1"/>
  </sheetPr>
  <dimension ref="A1:AJ84"/>
  <sheetViews>
    <sheetView showGridLines="0" topLeftCell="A17" zoomScale="120" zoomScaleNormal="120" zoomScalePageLayoutView="50" workbookViewId="0">
      <selection activeCell="D38" sqref="D38"/>
    </sheetView>
  </sheetViews>
  <sheetFormatPr baseColWidth="10" defaultColWidth="10.83203125" defaultRowHeight="16" outlineLevelCol="1" x14ac:dyDescent="0.2"/>
  <cols>
    <col min="1" max="1" width="2.6640625" style="166" customWidth="1"/>
    <col min="2" max="2" width="32.6640625" style="166" customWidth="1"/>
    <col min="3" max="3" width="13.6640625" style="166" customWidth="1" outlineLevel="1"/>
    <col min="4" max="4" width="14.83203125" style="166" customWidth="1" outlineLevel="1"/>
    <col min="5" max="5" width="14.5" style="166" customWidth="1" outlineLevel="1"/>
    <col min="6" max="6" width="12.33203125" style="166" bestFit="1" customWidth="1" outlineLevel="1"/>
    <col min="7" max="7" width="13.83203125" style="166" customWidth="1" outlineLevel="1"/>
    <col min="8" max="8" width="14.83203125" style="166" customWidth="1" outlineLevel="1"/>
    <col min="9" max="9" width="13.1640625" style="166" customWidth="1" outlineLevel="1"/>
    <col min="10" max="10" width="14.83203125" style="166" customWidth="1" outlineLevel="1"/>
    <col min="11" max="14" width="10.83203125" style="166" customWidth="1" outlineLevel="1"/>
    <col min="15" max="15" width="10.83203125" style="166"/>
    <col min="16" max="19" width="10.83203125" style="166" customWidth="1" outlineLevel="1"/>
    <col min="20" max="20" width="10.83203125" style="166"/>
    <col min="21" max="24" width="10.83203125" style="166" customWidth="1" outlineLevel="1"/>
    <col min="25" max="32" width="10.83203125" style="166"/>
    <col min="33" max="33" width="133.6640625" style="166" bestFit="1" customWidth="1"/>
    <col min="34" max="16384" width="10.83203125" style="166"/>
  </cols>
  <sheetData>
    <row r="1" spans="1:36" s="92" customFormat="1" x14ac:dyDescent="0.2">
      <c r="A1" s="91" t="s">
        <v>57</v>
      </c>
    </row>
    <row r="2" spans="1:36" s="92" customFormat="1" ht="30" x14ac:dyDescent="0.3">
      <c r="B2" s="98" t="s">
        <v>76</v>
      </c>
    </row>
    <row r="3" spans="1:36" customFormat="1" ht="22" x14ac:dyDescent="0.3">
      <c r="H3" s="277" t="s">
        <v>246</v>
      </c>
      <c r="X3" s="33"/>
      <c r="Y3" s="33"/>
    </row>
    <row r="4" spans="1:36" ht="16" customHeight="1" x14ac:dyDescent="0.2">
      <c r="B4" s="164" t="s">
        <v>77</v>
      </c>
      <c r="C4" s="181" t="s">
        <v>88</v>
      </c>
      <c r="D4" s="46" t="s">
        <v>89</v>
      </c>
      <c r="E4" s="46" t="s">
        <v>90</v>
      </c>
      <c r="F4" s="46" t="s">
        <v>91</v>
      </c>
      <c r="G4" s="46" t="s">
        <v>92</v>
      </c>
      <c r="H4" s="46" t="s">
        <v>93</v>
      </c>
      <c r="I4" s="46" t="s">
        <v>94</v>
      </c>
      <c r="J4" s="46" t="s">
        <v>95</v>
      </c>
      <c r="K4" s="46" t="s">
        <v>96</v>
      </c>
      <c r="L4" s="46" t="s">
        <v>97</v>
      </c>
      <c r="M4" s="46" t="s">
        <v>98</v>
      </c>
      <c r="N4" s="46" t="s">
        <v>99</v>
      </c>
      <c r="O4" s="175" t="s">
        <v>100</v>
      </c>
      <c r="P4" s="46" t="s">
        <v>101</v>
      </c>
      <c r="Q4" s="46" t="s">
        <v>102</v>
      </c>
      <c r="R4" s="46" t="s">
        <v>103</v>
      </c>
      <c r="S4" s="46" t="s">
        <v>104</v>
      </c>
      <c r="T4" s="172" t="s">
        <v>105</v>
      </c>
      <c r="U4" s="47" t="s">
        <v>106</v>
      </c>
      <c r="V4" s="47" t="s">
        <v>107</v>
      </c>
      <c r="W4" s="47" t="s">
        <v>108</v>
      </c>
      <c r="X4" s="47" t="s">
        <v>109</v>
      </c>
      <c r="Y4" s="173" t="s">
        <v>110</v>
      </c>
      <c r="Z4" s="47" t="s">
        <v>249</v>
      </c>
      <c r="AA4" s="47" t="s">
        <v>250</v>
      </c>
      <c r="AB4" s="47" t="s">
        <v>251</v>
      </c>
      <c r="AC4" s="47" t="s">
        <v>252</v>
      </c>
      <c r="AD4" s="4" t="s">
        <v>248</v>
      </c>
    </row>
    <row r="5" spans="1:36" ht="16" customHeight="1" x14ac:dyDescent="0.2">
      <c r="B5" s="209" t="s">
        <v>78</v>
      </c>
      <c r="C5" s="210"/>
      <c r="D5" s="223"/>
      <c r="E5" s="223"/>
      <c r="F5" s="223"/>
      <c r="G5" s="224"/>
      <c r="H5" s="223"/>
      <c r="I5" s="223"/>
      <c r="J5" s="224"/>
      <c r="K5" s="223"/>
      <c r="L5" s="223"/>
      <c r="M5" s="224"/>
      <c r="N5" s="223"/>
      <c r="O5" s="208"/>
      <c r="P5" s="223"/>
      <c r="Q5" s="223"/>
      <c r="R5" s="223"/>
      <c r="S5" s="223"/>
      <c r="T5" s="208"/>
      <c r="U5" s="222"/>
      <c r="V5" s="222"/>
      <c r="W5" s="222"/>
      <c r="X5" s="222"/>
      <c r="Y5" s="208"/>
      <c r="Z5" s="222"/>
      <c r="AA5" s="222"/>
      <c r="AB5" s="222"/>
      <c r="AC5" s="222"/>
      <c r="AD5" s="208"/>
    </row>
    <row r="6" spans="1:36" ht="16" customHeight="1" x14ac:dyDescent="0.2">
      <c r="D6" s="167"/>
      <c r="O6" s="184"/>
      <c r="T6" s="184"/>
      <c r="Y6" s="184"/>
      <c r="AD6" s="184"/>
    </row>
    <row r="7" spans="1:36" ht="16" customHeight="1" thickBot="1" x14ac:dyDescent="0.25">
      <c r="B7" s="174" t="s">
        <v>79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175"/>
      <c r="P7" s="46"/>
      <c r="Q7" s="46"/>
      <c r="R7" s="46"/>
      <c r="S7" s="46"/>
      <c r="T7" s="172"/>
      <c r="U7" s="47"/>
      <c r="V7" s="47"/>
      <c r="W7" s="47"/>
      <c r="X7" s="47"/>
      <c r="Y7" s="173"/>
      <c r="Z7" s="47"/>
      <c r="AA7" s="47"/>
      <c r="AB7" s="47"/>
      <c r="AC7" s="47"/>
      <c r="AD7" s="173"/>
    </row>
    <row r="8" spans="1:36" ht="16" customHeight="1" thickTop="1" x14ac:dyDescent="0.2">
      <c r="B8" s="185" t="s">
        <v>211</v>
      </c>
      <c r="C8" s="192"/>
      <c r="D8" s="193"/>
      <c r="E8" s="297" t="s">
        <v>283</v>
      </c>
      <c r="F8" s="193"/>
      <c r="G8" s="193"/>
      <c r="H8" s="193"/>
      <c r="I8" s="193"/>
      <c r="J8" s="193"/>
      <c r="K8" s="193"/>
      <c r="L8" s="193"/>
      <c r="M8" s="193"/>
      <c r="N8" s="194"/>
      <c r="O8" s="211"/>
      <c r="P8" s="192"/>
      <c r="Q8" s="193"/>
      <c r="R8" s="193"/>
      <c r="S8" s="194"/>
      <c r="T8" s="211"/>
      <c r="U8" s="192"/>
      <c r="V8" s="193"/>
      <c r="W8" s="193"/>
      <c r="X8" s="194"/>
      <c r="Y8" s="211"/>
      <c r="Z8" s="192"/>
      <c r="AA8" s="193"/>
      <c r="AB8" s="193"/>
      <c r="AC8" s="194"/>
      <c r="AD8" s="211"/>
    </row>
    <row r="9" spans="1:36" ht="16" customHeight="1" x14ac:dyDescent="0.2">
      <c r="B9" s="186" t="s">
        <v>80</v>
      </c>
      <c r="C9" s="195">
        <v>0</v>
      </c>
      <c r="D9" s="196">
        <v>0</v>
      </c>
      <c r="E9" s="285">
        <v>6</v>
      </c>
      <c r="F9" s="196">
        <v>0</v>
      </c>
      <c r="G9" s="196">
        <v>0</v>
      </c>
      <c r="H9" s="196">
        <v>0</v>
      </c>
      <c r="I9" s="196">
        <v>0</v>
      </c>
      <c r="J9" s="196">
        <v>0</v>
      </c>
      <c r="K9" s="196">
        <v>0</v>
      </c>
      <c r="L9" s="196">
        <v>0</v>
      </c>
      <c r="M9" s="196">
        <v>0</v>
      </c>
      <c r="N9" s="196">
        <v>0</v>
      </c>
      <c r="O9" s="214">
        <v>0</v>
      </c>
      <c r="P9" s="182">
        <v>2</v>
      </c>
      <c r="Q9" s="196">
        <v>1</v>
      </c>
      <c r="R9" s="196">
        <v>3</v>
      </c>
      <c r="S9" s="196">
        <v>2</v>
      </c>
      <c r="T9" s="214">
        <f>SUM(P9:S9)</f>
        <v>8</v>
      </c>
      <c r="U9" s="182">
        <v>3</v>
      </c>
      <c r="V9" s="196">
        <v>2</v>
      </c>
      <c r="W9" s="196">
        <v>4</v>
      </c>
      <c r="X9" s="196">
        <v>3</v>
      </c>
      <c r="Y9" s="214">
        <f>SUM(U9:X9)</f>
        <v>12</v>
      </c>
      <c r="Z9" s="182">
        <v>1</v>
      </c>
      <c r="AA9" s="196">
        <v>1</v>
      </c>
      <c r="AB9" s="196">
        <v>5</v>
      </c>
      <c r="AC9" s="196">
        <v>3</v>
      </c>
      <c r="AD9" s="214">
        <f>SUM(Z9:AC9)-2</f>
        <v>8</v>
      </c>
    </row>
    <row r="10" spans="1:36" ht="16" customHeight="1" x14ac:dyDescent="0.2">
      <c r="B10" s="187" t="s">
        <v>81</v>
      </c>
      <c r="C10" s="197">
        <v>0</v>
      </c>
      <c r="D10" s="198">
        <v>0</v>
      </c>
      <c r="E10" s="286">
        <v>0</v>
      </c>
      <c r="F10" s="198">
        <v>0</v>
      </c>
      <c r="G10" s="198">
        <v>0</v>
      </c>
      <c r="H10" s="198">
        <v>0</v>
      </c>
      <c r="I10" s="198">
        <v>0</v>
      </c>
      <c r="J10" s="198">
        <v>0</v>
      </c>
      <c r="K10" s="198">
        <v>0</v>
      </c>
      <c r="L10" s="198">
        <v>0</v>
      </c>
      <c r="M10" s="198">
        <v>0</v>
      </c>
      <c r="N10" s="198">
        <v>0</v>
      </c>
      <c r="O10" s="214">
        <f>SUM(C10:N10)</f>
        <v>0</v>
      </c>
      <c r="P10" s="198">
        <f>$C$37*P9</f>
        <v>8400</v>
      </c>
      <c r="Q10" s="198">
        <f>$C$37*Q9</f>
        <v>4200</v>
      </c>
      <c r="R10" s="198">
        <f>$C$37*R9</f>
        <v>12600</v>
      </c>
      <c r="S10" s="198">
        <f>$C$37*S9</f>
        <v>8400</v>
      </c>
      <c r="T10" s="214">
        <f>SUM(P10:S10)</f>
        <v>33600</v>
      </c>
      <c r="U10" s="198">
        <f>$C$37*U9</f>
        <v>12600</v>
      </c>
      <c r="V10" s="198">
        <f>$C$37*V9</f>
        <v>8400</v>
      </c>
      <c r="W10" s="198">
        <f>$C$37*W9</f>
        <v>16800</v>
      </c>
      <c r="X10" s="198">
        <f>$C$37*X9</f>
        <v>12600</v>
      </c>
      <c r="Y10" s="214">
        <f>SUM(U10:X10)</f>
        <v>50400</v>
      </c>
      <c r="Z10" s="198">
        <f>$C$37*Z9</f>
        <v>4200</v>
      </c>
      <c r="AA10" s="198">
        <f>$C$37*AA9</f>
        <v>4200</v>
      </c>
      <c r="AB10" s="198">
        <f>$C$37*AB9</f>
        <v>21000</v>
      </c>
      <c r="AC10" s="198">
        <f>$C$37*AC9</f>
        <v>12600</v>
      </c>
      <c r="AD10" s="214">
        <f>SUM(Z10:AC10)</f>
        <v>42000</v>
      </c>
    </row>
    <row r="11" spans="1:36" ht="16" customHeight="1" x14ac:dyDescent="0.2">
      <c r="B11" s="272" t="s">
        <v>84</v>
      </c>
      <c r="C11" s="197">
        <v>0</v>
      </c>
      <c r="D11" s="198">
        <v>0</v>
      </c>
      <c r="E11" s="286">
        <v>0</v>
      </c>
      <c r="F11" s="198">
        <v>0</v>
      </c>
      <c r="G11" s="198">
        <v>0</v>
      </c>
      <c r="H11" s="198">
        <v>0</v>
      </c>
      <c r="I11" s="198">
        <v>0</v>
      </c>
      <c r="J11" s="198">
        <v>0</v>
      </c>
      <c r="K11" s="198">
        <v>0</v>
      </c>
      <c r="L11" s="198">
        <v>0</v>
      </c>
      <c r="M11" s="198">
        <v>0</v>
      </c>
      <c r="N11" s="198">
        <v>0</v>
      </c>
      <c r="O11" s="214">
        <f>SUM(C11:N11)</f>
        <v>0</v>
      </c>
      <c r="P11" s="198"/>
      <c r="Q11" s="198"/>
      <c r="R11" s="198"/>
      <c r="S11" s="198"/>
      <c r="T11" s="214">
        <f>SUM(P11:S11)</f>
        <v>0</v>
      </c>
      <c r="U11" s="198"/>
      <c r="V11" s="198"/>
      <c r="W11" s="198"/>
      <c r="X11" s="198"/>
      <c r="Y11" s="214">
        <f>SUM(U11:X11)</f>
        <v>0</v>
      </c>
      <c r="Z11" s="198"/>
      <c r="AA11" s="198"/>
      <c r="AB11" s="198"/>
      <c r="AC11" s="198"/>
      <c r="AD11" s="214">
        <f>SUM(Z11:AC11)</f>
        <v>0</v>
      </c>
    </row>
    <row r="12" spans="1:36" ht="16" customHeight="1" x14ac:dyDescent="0.2">
      <c r="B12" s="188" t="s">
        <v>82</v>
      </c>
      <c r="C12" s="197">
        <v>0</v>
      </c>
      <c r="D12" s="198">
        <v>0</v>
      </c>
      <c r="E12" s="286">
        <v>0</v>
      </c>
      <c r="F12" s="198">
        <v>0</v>
      </c>
      <c r="G12" s="198">
        <v>0</v>
      </c>
      <c r="H12" s="198">
        <v>0</v>
      </c>
      <c r="I12" s="198">
        <v>0</v>
      </c>
      <c r="J12" s="198">
        <v>0</v>
      </c>
      <c r="K12" s="198">
        <v>0</v>
      </c>
      <c r="L12" s="198">
        <v>0</v>
      </c>
      <c r="M12" s="198">
        <v>0</v>
      </c>
      <c r="N12" s="198">
        <v>0</v>
      </c>
      <c r="O12" s="214">
        <f>SUM(C12:N12)</f>
        <v>0</v>
      </c>
      <c r="P12" s="199">
        <f>P10-P11</f>
        <v>8400</v>
      </c>
      <c r="Q12" s="199">
        <f>Q10-Q11</f>
        <v>4200</v>
      </c>
      <c r="R12" s="199">
        <f>R10-R11</f>
        <v>12600</v>
      </c>
      <c r="S12" s="199">
        <f>S10-S11</f>
        <v>8400</v>
      </c>
      <c r="T12" s="214">
        <f>SUM(P12:S12)</f>
        <v>33600</v>
      </c>
      <c r="U12" s="199">
        <f>U10-U11</f>
        <v>12600</v>
      </c>
      <c r="V12" s="199">
        <f>V10-V11</f>
        <v>8400</v>
      </c>
      <c r="W12" s="199">
        <f>W10-W11</f>
        <v>16800</v>
      </c>
      <c r="X12" s="199">
        <f>X10-X11</f>
        <v>12600</v>
      </c>
      <c r="Y12" s="214">
        <f>SUM(U12:X12)</f>
        <v>50400</v>
      </c>
      <c r="Z12" s="199">
        <f>Z10-Z11</f>
        <v>4200</v>
      </c>
      <c r="AA12" s="199">
        <f>AA10-AA11</f>
        <v>4200</v>
      </c>
      <c r="AB12" s="199">
        <f>AB10-AB11</f>
        <v>21000</v>
      </c>
      <c r="AC12" s="199">
        <f>AC10-AC11</f>
        <v>12600</v>
      </c>
      <c r="AD12" s="214">
        <f>SUM(Z12:AC12)</f>
        <v>42000</v>
      </c>
    </row>
    <row r="13" spans="1:36" ht="16" customHeight="1" x14ac:dyDescent="0.2">
      <c r="B13" s="171"/>
      <c r="C13" s="200"/>
      <c r="D13" s="177"/>
      <c r="E13" s="287"/>
      <c r="F13" s="177"/>
      <c r="G13" s="177"/>
      <c r="H13" s="177"/>
      <c r="I13" s="177"/>
      <c r="J13" s="177"/>
      <c r="K13" s="177"/>
      <c r="L13" s="177"/>
      <c r="M13" s="177"/>
      <c r="N13" s="201"/>
      <c r="O13" s="212"/>
      <c r="P13" s="213"/>
      <c r="Q13" s="177"/>
      <c r="R13" s="177"/>
      <c r="S13" s="201"/>
      <c r="T13" s="212"/>
      <c r="U13" s="177"/>
      <c r="V13" s="177"/>
      <c r="W13" s="177"/>
      <c r="X13" s="201"/>
      <c r="Y13" s="212"/>
      <c r="Z13" s="177"/>
      <c r="AA13" s="177"/>
      <c r="AB13" s="177"/>
      <c r="AC13" s="201"/>
      <c r="AD13" s="212"/>
    </row>
    <row r="14" spans="1:36" ht="16" customHeight="1" x14ac:dyDescent="0.2">
      <c r="B14" s="189" t="s">
        <v>212</v>
      </c>
      <c r="C14" s="202"/>
      <c r="D14" s="203"/>
      <c r="E14" s="288"/>
      <c r="F14" s="203"/>
      <c r="G14" s="203"/>
      <c r="H14" s="203"/>
      <c r="I14" s="203"/>
      <c r="J14" s="203"/>
      <c r="K14" s="203"/>
      <c r="L14" s="203"/>
      <c r="M14" s="203"/>
      <c r="N14" s="204"/>
      <c r="O14" s="211"/>
      <c r="P14" s="183"/>
      <c r="Q14" s="203"/>
      <c r="R14" s="203"/>
      <c r="S14" s="204"/>
      <c r="T14" s="211"/>
      <c r="U14" s="203"/>
      <c r="V14" s="203"/>
      <c r="W14" s="203"/>
      <c r="X14" s="204"/>
      <c r="Y14" s="211"/>
      <c r="Z14" s="203"/>
      <c r="AA14" s="203"/>
      <c r="AB14" s="203"/>
      <c r="AC14" s="204"/>
      <c r="AD14" s="211"/>
    </row>
    <row r="15" spans="1:36" ht="16" customHeight="1" x14ac:dyDescent="0.2">
      <c r="B15" s="186" t="s">
        <v>80</v>
      </c>
      <c r="C15" s="195">
        <v>0</v>
      </c>
      <c r="D15" s="196">
        <v>0</v>
      </c>
      <c r="E15" s="285">
        <v>0</v>
      </c>
      <c r="F15" s="196">
        <v>0</v>
      </c>
      <c r="G15" s="196">
        <v>0</v>
      </c>
      <c r="H15" s="196">
        <v>0</v>
      </c>
      <c r="I15" s="196">
        <v>0</v>
      </c>
      <c r="J15" s="196">
        <v>0</v>
      </c>
      <c r="K15" s="196">
        <v>0</v>
      </c>
      <c r="L15" s="196">
        <v>0</v>
      </c>
      <c r="M15" s="196">
        <v>0</v>
      </c>
      <c r="N15" s="196">
        <v>0</v>
      </c>
      <c r="O15" s="214">
        <v>3</v>
      </c>
      <c r="P15" s="182">
        <v>5</v>
      </c>
      <c r="Q15" s="196">
        <v>2</v>
      </c>
      <c r="R15" s="196">
        <v>4</v>
      </c>
      <c r="S15" s="196">
        <v>3</v>
      </c>
      <c r="T15" s="214">
        <f>SUM(P15:S15)</f>
        <v>14</v>
      </c>
      <c r="U15" s="182">
        <v>4</v>
      </c>
      <c r="V15" s="196">
        <v>5</v>
      </c>
      <c r="W15" s="196">
        <v>8</v>
      </c>
      <c r="X15" s="196">
        <v>7</v>
      </c>
      <c r="Y15" s="214">
        <f>SUM(U15:X15)</f>
        <v>24</v>
      </c>
      <c r="Z15" s="182">
        <v>2</v>
      </c>
      <c r="AA15" s="196">
        <v>1</v>
      </c>
      <c r="AB15" s="196">
        <v>9</v>
      </c>
      <c r="AC15" s="196">
        <v>6</v>
      </c>
      <c r="AD15" s="214">
        <f>SUM(Z15:AC15)-3</f>
        <v>15</v>
      </c>
      <c r="AG15" s="279" t="s">
        <v>256</v>
      </c>
      <c r="AH15"/>
      <c r="AI15"/>
      <c r="AJ15"/>
    </row>
    <row r="16" spans="1:36" ht="16" customHeight="1" x14ac:dyDescent="0.2">
      <c r="B16" s="187" t="s">
        <v>81</v>
      </c>
      <c r="C16" s="197">
        <v>0</v>
      </c>
      <c r="D16" s="198">
        <v>0</v>
      </c>
      <c r="E16" s="286">
        <v>0</v>
      </c>
      <c r="F16" s="198">
        <v>0</v>
      </c>
      <c r="G16" s="198">
        <v>0</v>
      </c>
      <c r="H16" s="198">
        <v>0</v>
      </c>
      <c r="I16" s="198">
        <f>$C$38*I15</f>
        <v>0</v>
      </c>
      <c r="J16" s="198">
        <v>0</v>
      </c>
      <c r="K16" s="198">
        <v>0</v>
      </c>
      <c r="L16" s="198">
        <f>$C$38*L15</f>
        <v>0</v>
      </c>
      <c r="M16" s="198">
        <v>0</v>
      </c>
      <c r="N16" s="198">
        <f>$C$38*N15</f>
        <v>0</v>
      </c>
      <c r="O16" s="214">
        <f>SUM(C16:N16)</f>
        <v>0</v>
      </c>
      <c r="P16" s="198">
        <f>$C$38*P15</f>
        <v>29500</v>
      </c>
      <c r="Q16" s="198">
        <f>$C$38*Q15</f>
        <v>11800</v>
      </c>
      <c r="R16" s="198">
        <f>$C$38*R15</f>
        <v>23600</v>
      </c>
      <c r="S16" s="198">
        <f>$C$38*S15</f>
        <v>17700</v>
      </c>
      <c r="T16" s="214">
        <f>SUM(P16:S16)</f>
        <v>82600</v>
      </c>
      <c r="U16" s="198">
        <f>$C$38*U15</f>
        <v>23600</v>
      </c>
      <c r="V16" s="198">
        <f>$C$38*V15</f>
        <v>29500</v>
      </c>
      <c r="W16" s="198">
        <f>$C$38*W15</f>
        <v>47200</v>
      </c>
      <c r="X16" s="198">
        <f>$C$38*X15</f>
        <v>41300</v>
      </c>
      <c r="Y16" s="214">
        <f>SUM(U16:X16)</f>
        <v>141600</v>
      </c>
      <c r="Z16" s="198">
        <f>$C$38*Z15</f>
        <v>11800</v>
      </c>
      <c r="AA16" s="198">
        <f>$C$38*AA15</f>
        <v>5900</v>
      </c>
      <c r="AB16" s="198">
        <f>$C$38*AB15</f>
        <v>53100</v>
      </c>
      <c r="AC16" s="198">
        <f>$C$38*AC15</f>
        <v>35400</v>
      </c>
      <c r="AD16" s="214">
        <f>SUM(Z16:AC16)</f>
        <v>106200</v>
      </c>
      <c r="AG16"/>
      <c r="AH16"/>
      <c r="AI16"/>
      <c r="AJ16"/>
    </row>
    <row r="17" spans="2:36" ht="16" customHeight="1" x14ac:dyDescent="0.2">
      <c r="B17" s="272" t="s">
        <v>84</v>
      </c>
      <c r="C17" s="198">
        <f t="shared" ref="C17:N17" si="0">$D$38*C15</f>
        <v>0</v>
      </c>
      <c r="D17" s="198">
        <f t="shared" si="0"/>
        <v>0</v>
      </c>
      <c r="E17" s="286">
        <f t="shared" si="0"/>
        <v>0</v>
      </c>
      <c r="F17" s="198">
        <f t="shared" si="0"/>
        <v>0</v>
      </c>
      <c r="G17" s="198">
        <f t="shared" si="0"/>
        <v>0</v>
      </c>
      <c r="H17" s="198">
        <f t="shared" si="0"/>
        <v>0</v>
      </c>
      <c r="I17" s="198">
        <f t="shared" si="0"/>
        <v>0</v>
      </c>
      <c r="J17" s="198">
        <f t="shared" si="0"/>
        <v>0</v>
      </c>
      <c r="K17" s="198">
        <f t="shared" si="0"/>
        <v>0</v>
      </c>
      <c r="L17" s="198">
        <f t="shared" si="0"/>
        <v>0</v>
      </c>
      <c r="M17" s="198">
        <f t="shared" si="0"/>
        <v>0</v>
      </c>
      <c r="N17" s="198">
        <f t="shared" si="0"/>
        <v>0</v>
      </c>
      <c r="O17" s="214">
        <f>SUM(C17:N17)</f>
        <v>0</v>
      </c>
      <c r="P17" s="198"/>
      <c r="Q17" s="198"/>
      <c r="R17" s="198"/>
      <c r="S17" s="198"/>
      <c r="T17" s="214">
        <f>SUM(P17:S17)</f>
        <v>0</v>
      </c>
      <c r="U17" s="198"/>
      <c r="V17" s="198"/>
      <c r="W17" s="198"/>
      <c r="X17" s="198"/>
      <c r="Y17" s="214">
        <f>SUM(U17:X17)</f>
        <v>0</v>
      </c>
      <c r="Z17" s="198"/>
      <c r="AA17" s="198"/>
      <c r="AB17" s="198"/>
      <c r="AC17" s="198"/>
      <c r="AD17" s="214">
        <f>SUM(Z17:AC17)</f>
        <v>0</v>
      </c>
      <c r="AG17" s="278" t="s">
        <v>257</v>
      </c>
      <c r="AH17" s="278" t="s">
        <v>258</v>
      </c>
      <c r="AI17" s="278" t="s">
        <v>259</v>
      </c>
      <c r="AJ17" s="278" t="s">
        <v>157</v>
      </c>
    </row>
    <row r="18" spans="2:36" ht="16" customHeight="1" x14ac:dyDescent="0.2">
      <c r="B18" s="188" t="s">
        <v>82</v>
      </c>
      <c r="C18" s="197">
        <v>0</v>
      </c>
      <c r="D18" s="198">
        <v>0</v>
      </c>
      <c r="E18" s="289">
        <f>E16-E17</f>
        <v>0</v>
      </c>
      <c r="F18" s="199">
        <f>F16-F17</f>
        <v>0</v>
      </c>
      <c r="G18" s="199">
        <f>G16-G17</f>
        <v>0</v>
      </c>
      <c r="H18" s="199">
        <f>H16-H17</f>
        <v>0</v>
      </c>
      <c r="I18" s="207">
        <v>0</v>
      </c>
      <c r="J18" s="199">
        <f>J16-J17</f>
        <v>0</v>
      </c>
      <c r="K18" s="199">
        <f>K16-K17</f>
        <v>0</v>
      </c>
      <c r="L18" s="207">
        <v>0</v>
      </c>
      <c r="M18" s="199">
        <f>M16-M17</f>
        <v>0</v>
      </c>
      <c r="N18" s="207">
        <v>0</v>
      </c>
      <c r="O18" s="214">
        <f>SUM(C18:N18)</f>
        <v>0</v>
      </c>
      <c r="P18" s="199">
        <f>P16-P17</f>
        <v>29500</v>
      </c>
      <c r="Q18" s="199">
        <f>Q16-Q17</f>
        <v>11800</v>
      </c>
      <c r="R18" s="199">
        <f>R16-R17</f>
        <v>23600</v>
      </c>
      <c r="S18" s="199">
        <f>S16-S17</f>
        <v>17700</v>
      </c>
      <c r="T18" s="214">
        <f>SUM(P18:S18)</f>
        <v>82600</v>
      </c>
      <c r="U18" s="199">
        <f>U16-U17</f>
        <v>23600</v>
      </c>
      <c r="V18" s="199">
        <f>V16-V17</f>
        <v>29500</v>
      </c>
      <c r="W18" s="199">
        <f>W16-W17</f>
        <v>47200</v>
      </c>
      <c r="X18" s="199">
        <f>X16-X17</f>
        <v>41300</v>
      </c>
      <c r="Y18" s="214">
        <f>SUM(U18:X18)</f>
        <v>141600</v>
      </c>
      <c r="Z18" s="199">
        <f>Z16-Z17</f>
        <v>11800</v>
      </c>
      <c r="AA18" s="199">
        <f>AA16-AA17</f>
        <v>5900</v>
      </c>
      <c r="AB18" s="199">
        <f>AB16-AB17</f>
        <v>53100</v>
      </c>
      <c r="AC18" s="199">
        <f>AC16-AC17</f>
        <v>35400</v>
      </c>
      <c r="AD18" s="214">
        <f>SUM(Z18:AC18)</f>
        <v>106200</v>
      </c>
      <c r="AG18" t="s">
        <v>260</v>
      </c>
      <c r="AH18">
        <v>90</v>
      </c>
      <c r="AI18">
        <v>72</v>
      </c>
      <c r="AJ18">
        <v>162</v>
      </c>
    </row>
    <row r="19" spans="2:36" ht="16" customHeight="1" x14ac:dyDescent="0.2">
      <c r="B19" s="171"/>
      <c r="C19" s="205"/>
      <c r="D19" s="177"/>
      <c r="E19" s="287"/>
      <c r="F19" s="177"/>
      <c r="G19" s="177"/>
      <c r="H19" s="177"/>
      <c r="I19" s="177"/>
      <c r="J19" s="177"/>
      <c r="K19" s="177"/>
      <c r="L19" s="177"/>
      <c r="M19" s="177"/>
      <c r="N19" s="201"/>
      <c r="O19" s="212"/>
      <c r="P19" s="216"/>
      <c r="Q19" s="177"/>
      <c r="R19" s="177"/>
      <c r="S19" s="201"/>
      <c r="T19" s="212"/>
      <c r="U19" s="177"/>
      <c r="V19" s="177"/>
      <c r="W19" s="177"/>
      <c r="X19" s="201"/>
      <c r="Y19" s="212"/>
      <c r="Z19" s="177"/>
      <c r="AA19" s="177"/>
      <c r="AB19" s="177"/>
      <c r="AC19" s="201"/>
      <c r="AD19" s="212"/>
      <c r="AG19" t="s">
        <v>261</v>
      </c>
      <c r="AH19">
        <v>192</v>
      </c>
      <c r="AI19">
        <v>160</v>
      </c>
      <c r="AJ19">
        <v>352</v>
      </c>
    </row>
    <row r="20" spans="2:36" ht="16" customHeight="1" x14ac:dyDescent="0.2">
      <c r="B20" s="189" t="s">
        <v>213</v>
      </c>
      <c r="C20" s="206"/>
      <c r="D20" s="217"/>
      <c r="E20" s="290"/>
      <c r="F20" s="217"/>
      <c r="G20" s="217"/>
      <c r="H20" s="217"/>
      <c r="I20" s="217"/>
      <c r="J20" s="217"/>
      <c r="K20" s="217"/>
      <c r="L20" s="217"/>
      <c r="M20" s="217"/>
      <c r="N20" s="218"/>
      <c r="O20" s="211"/>
      <c r="P20" s="219"/>
      <c r="Q20" s="217"/>
      <c r="R20" s="217"/>
      <c r="S20" s="218"/>
      <c r="T20" s="211"/>
      <c r="U20" s="217"/>
      <c r="V20" s="217"/>
      <c r="W20" s="217"/>
      <c r="X20" s="218"/>
      <c r="Y20" s="211"/>
      <c r="Z20" s="217"/>
      <c r="AA20" s="217"/>
      <c r="AB20" s="217"/>
      <c r="AC20" s="218"/>
      <c r="AD20" s="211"/>
      <c r="AG20" t="s">
        <v>262</v>
      </c>
      <c r="AH20" t="s">
        <v>263</v>
      </c>
      <c r="AI20" t="s">
        <v>264</v>
      </c>
      <c r="AJ20" t="s">
        <v>265</v>
      </c>
    </row>
    <row r="21" spans="2:36" ht="16" customHeight="1" x14ac:dyDescent="0.2">
      <c r="B21" s="186" t="s">
        <v>80</v>
      </c>
      <c r="C21" s="195">
        <v>0</v>
      </c>
      <c r="D21" s="196">
        <v>0</v>
      </c>
      <c r="E21" s="285">
        <v>0</v>
      </c>
      <c r="F21" s="196">
        <v>0</v>
      </c>
      <c r="G21" s="196">
        <v>0</v>
      </c>
      <c r="H21" s="196">
        <v>0</v>
      </c>
      <c r="I21" s="196">
        <v>0</v>
      </c>
      <c r="J21" s="196">
        <v>0</v>
      </c>
      <c r="K21" s="196">
        <v>0</v>
      </c>
      <c r="L21" s="196">
        <v>0</v>
      </c>
      <c r="M21" s="196">
        <v>0</v>
      </c>
      <c r="N21" s="196">
        <v>0</v>
      </c>
      <c r="O21" s="214">
        <v>1</v>
      </c>
      <c r="P21" s="182">
        <v>1</v>
      </c>
      <c r="Q21" s="196">
        <v>1</v>
      </c>
      <c r="R21" s="196">
        <v>3</v>
      </c>
      <c r="S21" s="196">
        <v>2</v>
      </c>
      <c r="T21" s="214">
        <f>SUM(P21:S21)</f>
        <v>7</v>
      </c>
      <c r="U21" s="182">
        <v>1</v>
      </c>
      <c r="V21" s="196">
        <v>1</v>
      </c>
      <c r="W21" s="196">
        <v>3</v>
      </c>
      <c r="X21" s="196">
        <v>2</v>
      </c>
      <c r="Y21" s="214">
        <f>SUM(U21:X21)</f>
        <v>7</v>
      </c>
      <c r="Z21" s="182">
        <v>1</v>
      </c>
      <c r="AA21" s="196">
        <v>2</v>
      </c>
      <c r="AB21" s="196">
        <v>4</v>
      </c>
      <c r="AC21" s="196">
        <v>1</v>
      </c>
      <c r="AD21" s="214">
        <f>SUM(Z21:AC21)-2</f>
        <v>6</v>
      </c>
      <c r="AG21" t="s">
        <v>266</v>
      </c>
      <c r="AH21"/>
      <c r="AI21"/>
      <c r="AJ21" t="s">
        <v>267</v>
      </c>
    </row>
    <row r="22" spans="2:36" ht="16" customHeight="1" x14ac:dyDescent="0.2">
      <c r="B22" s="187" t="s">
        <v>81</v>
      </c>
      <c r="C22" s="197">
        <v>0</v>
      </c>
      <c r="D22" s="207">
        <v>0</v>
      </c>
      <c r="E22" s="286">
        <f>$C$39*E21</f>
        <v>0</v>
      </c>
      <c r="F22" s="198">
        <f>$C$39*F21</f>
        <v>0</v>
      </c>
      <c r="G22" s="198">
        <f>$C$39*G21</f>
        <v>0</v>
      </c>
      <c r="H22" s="198">
        <f>$C$39*H21</f>
        <v>0</v>
      </c>
      <c r="I22" s="198">
        <v>0</v>
      </c>
      <c r="J22" s="198">
        <f>$C$39*J21</f>
        <v>0</v>
      </c>
      <c r="K22" s="198">
        <v>0</v>
      </c>
      <c r="L22" s="198">
        <f>$C$39*L21</f>
        <v>0</v>
      </c>
      <c r="M22" s="198">
        <f>$C$39*M21</f>
        <v>0</v>
      </c>
      <c r="N22" s="198">
        <f>$C$39*N21</f>
        <v>0</v>
      </c>
      <c r="O22" s="214">
        <f>SUM(C22:N22)</f>
        <v>0</v>
      </c>
      <c r="P22" s="198">
        <f>$C$39*P21</f>
        <v>8200</v>
      </c>
      <c r="Q22" s="198">
        <f>$C$39*Q21</f>
        <v>8200</v>
      </c>
      <c r="R22" s="198">
        <f>$C$39*R21</f>
        <v>24600</v>
      </c>
      <c r="S22" s="198">
        <f>$C$39*S21</f>
        <v>16400</v>
      </c>
      <c r="T22" s="214">
        <f>SUM(P22:S22)</f>
        <v>57400</v>
      </c>
      <c r="U22" s="198">
        <f>$C$39*U21</f>
        <v>8200</v>
      </c>
      <c r="V22" s="198">
        <f>$C$39*V21</f>
        <v>8200</v>
      </c>
      <c r="W22" s="198">
        <f>$C$39*W21</f>
        <v>24600</v>
      </c>
      <c r="X22" s="198">
        <f>$C$39*X21</f>
        <v>16400</v>
      </c>
      <c r="Y22" s="214">
        <f>SUM(U22:X22)</f>
        <v>57400</v>
      </c>
      <c r="Z22" s="198">
        <f>$C$39*Z21</f>
        <v>8200</v>
      </c>
      <c r="AA22" s="198">
        <f>$C$39*AA21</f>
        <v>16400</v>
      </c>
      <c r="AB22" s="198">
        <f>$C$39*AB21</f>
        <v>32800</v>
      </c>
      <c r="AC22" s="198">
        <f>$C$39*AC21</f>
        <v>8200</v>
      </c>
      <c r="AD22" s="214">
        <f>SUM(Z22:AC22)</f>
        <v>65600</v>
      </c>
      <c r="AG22" s="278" t="s">
        <v>268</v>
      </c>
      <c r="AH22"/>
      <c r="AI22"/>
      <c r="AJ22" s="278" t="s">
        <v>269</v>
      </c>
    </row>
    <row r="23" spans="2:36" ht="16" customHeight="1" x14ac:dyDescent="0.2">
      <c r="B23" s="272" t="s">
        <v>84</v>
      </c>
      <c r="C23" s="207">
        <f t="shared" ref="C23:N23" si="1">$D$39*C21</f>
        <v>0</v>
      </c>
      <c r="D23" s="207">
        <f t="shared" si="1"/>
        <v>0</v>
      </c>
      <c r="E23" s="291">
        <f t="shared" si="1"/>
        <v>0</v>
      </c>
      <c r="F23" s="207">
        <f t="shared" si="1"/>
        <v>0</v>
      </c>
      <c r="G23" s="207">
        <f t="shared" si="1"/>
        <v>0</v>
      </c>
      <c r="H23" s="207">
        <f t="shared" si="1"/>
        <v>0</v>
      </c>
      <c r="I23" s="207">
        <f t="shared" si="1"/>
        <v>0</v>
      </c>
      <c r="J23" s="207">
        <f t="shared" si="1"/>
        <v>0</v>
      </c>
      <c r="K23" s="207">
        <f t="shared" si="1"/>
        <v>0</v>
      </c>
      <c r="L23" s="207">
        <f t="shared" si="1"/>
        <v>0</v>
      </c>
      <c r="M23" s="207">
        <f t="shared" si="1"/>
        <v>0</v>
      </c>
      <c r="N23" s="207">
        <f t="shared" si="1"/>
        <v>0</v>
      </c>
      <c r="O23" s="214">
        <f>SUM(C23:N23)</f>
        <v>0</v>
      </c>
      <c r="P23" s="198"/>
      <c r="Q23" s="198"/>
      <c r="R23" s="198"/>
      <c r="S23" s="198"/>
      <c r="T23" s="214">
        <f>SUM(P23:S23)</f>
        <v>0</v>
      </c>
      <c r="U23" s="198"/>
      <c r="V23" s="198"/>
      <c r="W23" s="198"/>
      <c r="X23" s="198"/>
      <c r="Y23" s="214">
        <f>SUM(U23:X23)</f>
        <v>0</v>
      </c>
      <c r="Z23" s="198"/>
      <c r="AA23" s="198"/>
      <c r="AB23" s="198"/>
      <c r="AC23" s="198"/>
      <c r="AD23" s="214">
        <f>SUM(Z23:AC23)</f>
        <v>0</v>
      </c>
      <c r="AG23"/>
      <c r="AH23"/>
      <c r="AI23"/>
      <c r="AJ23"/>
    </row>
    <row r="24" spans="2:36" ht="16" customHeight="1" x14ac:dyDescent="0.2">
      <c r="B24" s="188" t="s">
        <v>82</v>
      </c>
      <c r="C24" s="197">
        <v>0</v>
      </c>
      <c r="D24" s="207">
        <v>0</v>
      </c>
      <c r="E24" s="291">
        <v>0</v>
      </c>
      <c r="F24" s="207">
        <v>0</v>
      </c>
      <c r="G24" s="207">
        <v>0</v>
      </c>
      <c r="H24" s="207">
        <v>0</v>
      </c>
      <c r="I24" s="199">
        <f>I22-I23</f>
        <v>0</v>
      </c>
      <c r="J24" s="207">
        <v>0</v>
      </c>
      <c r="K24" s="199">
        <f>K22-K23</f>
        <v>0</v>
      </c>
      <c r="L24" s="207">
        <v>0</v>
      </c>
      <c r="M24" s="207">
        <v>0</v>
      </c>
      <c r="N24" s="207">
        <v>0</v>
      </c>
      <c r="O24" s="214">
        <f>SUM(C24:N24)</f>
        <v>0</v>
      </c>
      <c r="P24" s="199">
        <f>P22-P23</f>
        <v>8200</v>
      </c>
      <c r="Q24" s="199">
        <f>Q22-Q23</f>
        <v>8200</v>
      </c>
      <c r="R24" s="199">
        <f>R22-R23</f>
        <v>24600</v>
      </c>
      <c r="S24" s="199">
        <f>S22-S23</f>
        <v>16400</v>
      </c>
      <c r="T24" s="214">
        <f>SUM(P24:S24)</f>
        <v>57400</v>
      </c>
      <c r="U24" s="199">
        <f>U22-U23</f>
        <v>8200</v>
      </c>
      <c r="V24" s="199">
        <f>V22-V23</f>
        <v>8200</v>
      </c>
      <c r="W24" s="199">
        <f>W22-W23</f>
        <v>24600</v>
      </c>
      <c r="X24" s="199">
        <f>X22-X23</f>
        <v>16400</v>
      </c>
      <c r="Y24" s="214">
        <f>SUM(U24:X24)</f>
        <v>57400</v>
      </c>
      <c r="Z24" s="199">
        <f>Z22-Z23</f>
        <v>8200</v>
      </c>
      <c r="AA24" s="199">
        <f>AA22-AA23</f>
        <v>16400</v>
      </c>
      <c r="AB24" s="199">
        <f>AB22-AB23</f>
        <v>32800</v>
      </c>
      <c r="AC24" s="199">
        <f>AC22-AC23</f>
        <v>8200</v>
      </c>
      <c r="AD24" s="214">
        <f>SUM(Z24:AC24)</f>
        <v>65600</v>
      </c>
      <c r="AG24"/>
      <c r="AH24"/>
      <c r="AI24"/>
      <c r="AJ24"/>
    </row>
    <row r="25" spans="2:36" ht="16" customHeight="1" x14ac:dyDescent="0.2">
      <c r="B25" s="215"/>
      <c r="C25" s="198"/>
      <c r="D25" s="198"/>
      <c r="E25" s="286"/>
      <c r="F25" s="198"/>
      <c r="G25" s="198"/>
      <c r="H25" s="198"/>
      <c r="I25" s="198"/>
      <c r="J25" s="198"/>
      <c r="K25" s="198"/>
      <c r="L25" s="198"/>
      <c r="M25" s="198"/>
      <c r="N25" s="198"/>
      <c r="O25" s="215"/>
      <c r="P25" s="198"/>
      <c r="Q25" s="198"/>
      <c r="R25" s="198"/>
      <c r="S25" s="198"/>
      <c r="T25" s="214"/>
      <c r="U25" s="198"/>
      <c r="V25" s="198"/>
      <c r="W25" s="198"/>
      <c r="X25" s="198"/>
      <c r="Y25" s="215"/>
      <c r="Z25" s="198"/>
      <c r="AA25" s="198"/>
      <c r="AB25" s="198"/>
      <c r="AC25" s="198"/>
      <c r="AD25" s="215"/>
      <c r="AG25" s="278" t="s">
        <v>270</v>
      </c>
      <c r="AH25"/>
      <c r="AI25"/>
      <c r="AJ25"/>
    </row>
    <row r="26" spans="2:36" x14ac:dyDescent="0.2">
      <c r="B26" s="251" t="s">
        <v>215</v>
      </c>
      <c r="C26" s="252"/>
      <c r="D26" s="252"/>
      <c r="E26" s="292"/>
      <c r="F26" s="252"/>
      <c r="G26" s="252"/>
      <c r="H26" s="252"/>
      <c r="I26" s="252"/>
      <c r="J26" s="252"/>
      <c r="K26" s="252"/>
      <c r="L26" s="252"/>
      <c r="M26" s="252"/>
      <c r="N26" s="252"/>
      <c r="O26" s="253"/>
      <c r="P26" s="198"/>
      <c r="Q26" s="198"/>
      <c r="R26" s="198"/>
      <c r="S26" s="198"/>
      <c r="T26" s="214"/>
      <c r="U26" s="198"/>
      <c r="V26" s="198"/>
      <c r="W26" s="198"/>
      <c r="X26" s="198"/>
      <c r="Y26" s="253"/>
      <c r="Z26" s="198"/>
      <c r="AA26" s="198"/>
      <c r="AB26" s="198"/>
      <c r="AC26" s="198"/>
      <c r="AD26" s="253"/>
      <c r="AG26"/>
      <c r="AH26"/>
      <c r="AI26"/>
      <c r="AJ26"/>
    </row>
    <row r="27" spans="2:36" ht="16" customHeight="1" x14ac:dyDescent="0.2">
      <c r="B27" s="254" t="s">
        <v>216</v>
      </c>
      <c r="C27" s="255">
        <v>0</v>
      </c>
      <c r="D27" s="256">
        <v>0</v>
      </c>
      <c r="E27" s="293">
        <f>E9+E15+E21</f>
        <v>6</v>
      </c>
      <c r="F27" s="257">
        <f t="shared" ref="F27:N27" si="2">E27+(F9+F15+F21)</f>
        <v>6</v>
      </c>
      <c r="G27" s="257">
        <f t="shared" si="2"/>
        <v>6</v>
      </c>
      <c r="H27" s="257">
        <f t="shared" si="2"/>
        <v>6</v>
      </c>
      <c r="I27" s="257">
        <f t="shared" si="2"/>
        <v>6</v>
      </c>
      <c r="J27" s="257">
        <f t="shared" si="2"/>
        <v>6</v>
      </c>
      <c r="K27" s="257">
        <f t="shared" si="2"/>
        <v>6</v>
      </c>
      <c r="L27" s="257">
        <f t="shared" si="2"/>
        <v>6</v>
      </c>
      <c r="M27" s="257">
        <f t="shared" si="2"/>
        <v>6</v>
      </c>
      <c r="N27" s="257">
        <f t="shared" si="2"/>
        <v>6</v>
      </c>
      <c r="O27" s="258">
        <f>O9+O15+O21</f>
        <v>4</v>
      </c>
      <c r="P27" s="257">
        <f>P9+P15+P21</f>
        <v>8</v>
      </c>
      <c r="Q27" s="257">
        <f>Q9+Q15+Q21</f>
        <v>4</v>
      </c>
      <c r="R27" s="257">
        <f>R9+R15+R21</f>
        <v>10</v>
      </c>
      <c r="S27" s="257">
        <f>S9+S15+S21</f>
        <v>7</v>
      </c>
      <c r="T27" s="214">
        <f>T9+T15+T21+O27</f>
        <v>33</v>
      </c>
      <c r="U27" s="257">
        <f>U9+U15+U21</f>
        <v>8</v>
      </c>
      <c r="V27" s="257">
        <f>V9+V15+V21</f>
        <v>8</v>
      </c>
      <c r="W27" s="257">
        <f>W9+W15+W21</f>
        <v>15</v>
      </c>
      <c r="X27" s="257">
        <f>X9+X15+X21</f>
        <v>12</v>
      </c>
      <c r="Y27" s="258">
        <f>(Y9+Y15+Y21+T27)</f>
        <v>76</v>
      </c>
      <c r="Z27" s="257">
        <f>Z9+Z15+Z21</f>
        <v>4</v>
      </c>
      <c r="AA27" s="257">
        <f>AA9+AA15+AA21</f>
        <v>4</v>
      </c>
      <c r="AB27" s="257">
        <f>AB9+AB15+AB21</f>
        <v>18</v>
      </c>
      <c r="AC27" s="257">
        <f>AC9+AC15+AC21</f>
        <v>10</v>
      </c>
      <c r="AD27" s="258">
        <f>AD9+AD15+AD21+Y27</f>
        <v>105</v>
      </c>
      <c r="AG27" t="s">
        <v>271</v>
      </c>
      <c r="AH27"/>
      <c r="AI27"/>
      <c r="AJ27"/>
    </row>
    <row r="28" spans="2:36" ht="16" customHeight="1" x14ac:dyDescent="0.2">
      <c r="B28" s="259" t="s">
        <v>81</v>
      </c>
      <c r="C28" s="255">
        <v>0</v>
      </c>
      <c r="D28" s="256">
        <v>0</v>
      </c>
      <c r="E28" s="292"/>
      <c r="F28" s="252">
        <f t="shared" ref="F28:N28" si="3">F9*$C$42+F15*$C$43+F21*$C$44+E28</f>
        <v>0</v>
      </c>
      <c r="G28" s="252">
        <f t="shared" si="3"/>
        <v>0</v>
      </c>
      <c r="H28" s="252">
        <f t="shared" si="3"/>
        <v>0</v>
      </c>
      <c r="I28" s="252">
        <f t="shared" si="3"/>
        <v>0</v>
      </c>
      <c r="J28" s="252">
        <f t="shared" si="3"/>
        <v>0</v>
      </c>
      <c r="K28" s="252">
        <f t="shared" si="3"/>
        <v>0</v>
      </c>
      <c r="L28" s="252">
        <f t="shared" si="3"/>
        <v>0</v>
      </c>
      <c r="M28" s="252">
        <f t="shared" si="3"/>
        <v>0</v>
      </c>
      <c r="N28" s="252">
        <f t="shared" si="3"/>
        <v>0</v>
      </c>
      <c r="O28" s="258">
        <f>SUM(C28:N28)</f>
        <v>0</v>
      </c>
      <c r="P28" s="252">
        <f>P9*$C$42+P15*$C$43+P21*$C$44+O28</f>
        <v>2642</v>
      </c>
      <c r="Q28" s="252">
        <f>Q9*$C$42+Q15*$C$43+Q21*$C$44+P28</f>
        <v>4018</v>
      </c>
      <c r="R28" s="252">
        <f>R9*$C$42+R15*$C$43+R21*$C$44+Q28</f>
        <v>7448</v>
      </c>
      <c r="S28" s="252">
        <f>S9*$C$42+S15*$C$43+S21*$C$44+R28</f>
        <v>9851</v>
      </c>
      <c r="T28" s="214">
        <f>SUM(P28:S28)</f>
        <v>23959</v>
      </c>
      <c r="U28" s="252">
        <f>U9*$C$42+U15*$C$43+U21*$C$44+T28</f>
        <v>26471</v>
      </c>
      <c r="V28" s="252">
        <f>V9*$C$42+V15*$C$43+V21*$C$44+U28</f>
        <v>29113</v>
      </c>
      <c r="W28" s="252">
        <f>W9*$C$42+W15*$C$43+W21*$C$44+V28</f>
        <v>34158</v>
      </c>
      <c r="X28" s="252">
        <f>X9*$C$42+X15*$C$43+X21*$C$44+W28</f>
        <v>38176</v>
      </c>
      <c r="Y28" s="214">
        <f>SUM(U28:X28)</f>
        <v>127918</v>
      </c>
      <c r="Z28" s="252">
        <f>Z9*$C$42+Z15*$C$43+Z21*$C$44+Y28</f>
        <v>129294</v>
      </c>
      <c r="AA28" s="252">
        <f>AA9*$C$42+AA15*$C$43+AA21*$C$44+Z28</f>
        <v>130780</v>
      </c>
      <c r="AB28" s="252">
        <f>AB9*$C$42+AB15*$C$43+AB21*$C$44+AA28</f>
        <v>136852</v>
      </c>
      <c r="AC28" s="252">
        <f>AC9*$C$42+AC15*$C$43+AC21*$C$44+AB28</f>
        <v>140062</v>
      </c>
      <c r="AD28" s="214">
        <f>SUM(Z28:AC28)</f>
        <v>536988</v>
      </c>
      <c r="AG28"/>
      <c r="AH28"/>
      <c r="AI28"/>
      <c r="AJ28"/>
    </row>
    <row r="29" spans="2:36" ht="16" customHeight="1" x14ac:dyDescent="0.2">
      <c r="B29" s="259" t="s">
        <v>84</v>
      </c>
      <c r="C29" s="255">
        <v>0</v>
      </c>
      <c r="D29" s="256">
        <v>0</v>
      </c>
      <c r="E29" s="294">
        <f t="shared" ref="E29:N29" si="4">E27*$C$82</f>
        <v>102</v>
      </c>
      <c r="F29" s="268">
        <f t="shared" si="4"/>
        <v>102</v>
      </c>
      <c r="G29" s="268">
        <f t="shared" si="4"/>
        <v>102</v>
      </c>
      <c r="H29" s="268">
        <f t="shared" si="4"/>
        <v>102</v>
      </c>
      <c r="I29" s="268">
        <f t="shared" si="4"/>
        <v>102</v>
      </c>
      <c r="J29" s="268">
        <f t="shared" si="4"/>
        <v>102</v>
      </c>
      <c r="K29" s="268">
        <f t="shared" si="4"/>
        <v>102</v>
      </c>
      <c r="L29" s="268">
        <f t="shared" si="4"/>
        <v>102</v>
      </c>
      <c r="M29" s="268">
        <f t="shared" si="4"/>
        <v>102</v>
      </c>
      <c r="N29" s="268">
        <f t="shared" si="4"/>
        <v>102</v>
      </c>
      <c r="O29" s="258">
        <f>SUM(C29:N29)</f>
        <v>1020</v>
      </c>
      <c r="P29" s="268">
        <f>(P27*$C$82)*3</f>
        <v>408</v>
      </c>
      <c r="Q29" s="268">
        <f>(Q27*$C$82)*3+P$29</f>
        <v>612</v>
      </c>
      <c r="R29" s="268">
        <f>(R27*$C$82)*3+Q$29</f>
        <v>1122</v>
      </c>
      <c r="S29" s="268">
        <f>(S27*$C$82)*3+R$29</f>
        <v>1479</v>
      </c>
      <c r="T29" s="214">
        <f>SUM(P29:S29)</f>
        <v>3621</v>
      </c>
      <c r="U29" s="268">
        <f>(U27*$C$82)*3+T$29</f>
        <v>4029</v>
      </c>
      <c r="V29" s="268">
        <f t="shared" ref="V29:X29" si="5">(V27*$C$82)*3+U$29</f>
        <v>4437</v>
      </c>
      <c r="W29" s="268">
        <f>(W27*$C$82)*3+V$29</f>
        <v>5202</v>
      </c>
      <c r="X29" s="268">
        <f t="shared" si="5"/>
        <v>5814</v>
      </c>
      <c r="Y29" s="214">
        <f>SUM(U29:X29)</f>
        <v>19482</v>
      </c>
      <c r="Z29" s="268">
        <f>(Z27*$C$82)*3+Y$29</f>
        <v>19686</v>
      </c>
      <c r="AA29" s="268">
        <f t="shared" ref="AA29:AC29" si="6">(AA27*$C$82)*3+Z$29</f>
        <v>19890</v>
      </c>
      <c r="AB29" s="268">
        <f t="shared" si="6"/>
        <v>20808</v>
      </c>
      <c r="AC29" s="268">
        <f t="shared" si="6"/>
        <v>21318</v>
      </c>
      <c r="AD29" s="214">
        <f>SUM(Z29:AC29)</f>
        <v>81702</v>
      </c>
      <c r="AG29" s="278" t="s">
        <v>272</v>
      </c>
      <c r="AH29"/>
      <c r="AI29"/>
      <c r="AJ29"/>
    </row>
    <row r="30" spans="2:36" ht="16" customHeight="1" x14ac:dyDescent="0.2">
      <c r="B30" s="260" t="s">
        <v>82</v>
      </c>
      <c r="C30" s="255">
        <v>0</v>
      </c>
      <c r="D30" s="256">
        <v>0</v>
      </c>
      <c r="E30" s="292">
        <f t="shared" ref="E30:N30" si="7">E28-E29</f>
        <v>-102</v>
      </c>
      <c r="F30" s="252">
        <f t="shared" si="7"/>
        <v>-102</v>
      </c>
      <c r="G30" s="252">
        <f t="shared" si="7"/>
        <v>-102</v>
      </c>
      <c r="H30" s="252">
        <f t="shared" si="7"/>
        <v>-102</v>
      </c>
      <c r="I30" s="252">
        <f t="shared" si="7"/>
        <v>-102</v>
      </c>
      <c r="J30" s="252">
        <f t="shared" si="7"/>
        <v>-102</v>
      </c>
      <c r="K30" s="252">
        <f t="shared" si="7"/>
        <v>-102</v>
      </c>
      <c r="L30" s="252">
        <f t="shared" si="7"/>
        <v>-102</v>
      </c>
      <c r="M30" s="252">
        <f t="shared" si="7"/>
        <v>-102</v>
      </c>
      <c r="N30" s="252">
        <f t="shared" si="7"/>
        <v>-102</v>
      </c>
      <c r="O30" s="258">
        <f>SUM(C30:N30)</f>
        <v>-1020</v>
      </c>
      <c r="P30" s="252">
        <f>P28-P29</f>
        <v>2234</v>
      </c>
      <c r="Q30" s="252">
        <f>Q28-Q29</f>
        <v>3406</v>
      </c>
      <c r="R30" s="252">
        <f>R28-R29</f>
        <v>6326</v>
      </c>
      <c r="S30" s="252">
        <f>S28-S29</f>
        <v>8372</v>
      </c>
      <c r="T30" s="214">
        <f>SUM(P30:S30)</f>
        <v>20338</v>
      </c>
      <c r="U30" s="252">
        <f>U28-U29</f>
        <v>22442</v>
      </c>
      <c r="V30" s="252">
        <f>V28-V29</f>
        <v>24676</v>
      </c>
      <c r="W30" s="252">
        <f>W28-W29</f>
        <v>28956</v>
      </c>
      <c r="X30" s="252">
        <f>X28-X29</f>
        <v>32362</v>
      </c>
      <c r="Y30" s="214">
        <f>SUM(U30:X30)</f>
        <v>108436</v>
      </c>
      <c r="Z30" s="252">
        <f>Z28-Z29</f>
        <v>109608</v>
      </c>
      <c r="AA30" s="252">
        <f>AA28-AA29</f>
        <v>110890</v>
      </c>
      <c r="AB30" s="252">
        <f>AB28-AB29</f>
        <v>116044</v>
      </c>
      <c r="AC30" s="252">
        <f>AC28-AC29</f>
        <v>118744</v>
      </c>
      <c r="AD30" s="214">
        <f>SUM(Z30:AC30)</f>
        <v>455286</v>
      </c>
    </row>
    <row r="31" spans="2:36" ht="16" customHeight="1" x14ac:dyDescent="0.2">
      <c r="B31" s="270" t="s">
        <v>86</v>
      </c>
      <c r="C31" s="256"/>
      <c r="D31" s="256"/>
      <c r="E31" s="295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71"/>
      <c r="Z31" s="256"/>
      <c r="AA31" s="256"/>
      <c r="AB31" s="256"/>
      <c r="AC31" s="256"/>
      <c r="AD31" s="271"/>
    </row>
    <row r="32" spans="2:36" ht="16" customHeight="1" x14ac:dyDescent="0.2">
      <c r="B32" s="190" t="s">
        <v>81</v>
      </c>
      <c r="C32" s="273">
        <f t="shared" ref="C32:N32" si="8">C22+C16+C10+C28</f>
        <v>0</v>
      </c>
      <c r="D32" s="273">
        <f t="shared" si="8"/>
        <v>0</v>
      </c>
      <c r="E32" s="296">
        <f t="shared" si="8"/>
        <v>0</v>
      </c>
      <c r="F32" s="273">
        <f t="shared" si="8"/>
        <v>0</v>
      </c>
      <c r="G32" s="273">
        <f t="shared" si="8"/>
        <v>0</v>
      </c>
      <c r="H32" s="273">
        <f t="shared" si="8"/>
        <v>0</v>
      </c>
      <c r="I32" s="273">
        <f t="shared" si="8"/>
        <v>0</v>
      </c>
      <c r="J32" s="273">
        <f t="shared" si="8"/>
        <v>0</v>
      </c>
      <c r="K32" s="273">
        <f t="shared" si="8"/>
        <v>0</v>
      </c>
      <c r="L32" s="273">
        <f t="shared" si="8"/>
        <v>0</v>
      </c>
      <c r="M32" s="273">
        <f t="shared" si="8"/>
        <v>0</v>
      </c>
      <c r="N32" s="273">
        <f t="shared" si="8"/>
        <v>0</v>
      </c>
      <c r="O32" s="214">
        <f>SUM(C32:N32)</f>
        <v>0</v>
      </c>
      <c r="P32" s="273">
        <f t="shared" ref="P32:S34" si="9">P22+P16+P10+P28</f>
        <v>48742</v>
      </c>
      <c r="Q32" s="273">
        <f t="shared" si="9"/>
        <v>28218</v>
      </c>
      <c r="R32" s="273">
        <f t="shared" si="9"/>
        <v>68248</v>
      </c>
      <c r="S32" s="273">
        <f t="shared" si="9"/>
        <v>52351</v>
      </c>
      <c r="T32" s="214">
        <f>SUM(P32:S32)</f>
        <v>197559</v>
      </c>
      <c r="U32" s="273">
        <f t="shared" ref="U32:X34" si="10">U22+U16+U10+U28</f>
        <v>70871</v>
      </c>
      <c r="V32" s="273">
        <f t="shared" si="10"/>
        <v>75213</v>
      </c>
      <c r="W32" s="273">
        <f t="shared" si="10"/>
        <v>122758</v>
      </c>
      <c r="X32" s="273">
        <f t="shared" si="10"/>
        <v>108476</v>
      </c>
      <c r="Y32" s="214">
        <f>SUM(U32:X32)</f>
        <v>377318</v>
      </c>
      <c r="Z32" s="273">
        <f t="shared" ref="Z32:AC34" si="11">Z22+Z16+Z10+Z28</f>
        <v>153494</v>
      </c>
      <c r="AA32" s="273">
        <f t="shared" si="11"/>
        <v>157280</v>
      </c>
      <c r="AB32" s="273">
        <f t="shared" si="11"/>
        <v>243752</v>
      </c>
      <c r="AC32" s="273">
        <f t="shared" si="11"/>
        <v>196262</v>
      </c>
      <c r="AD32" s="214">
        <f>SUM(Z32:AC32)</f>
        <v>750788</v>
      </c>
    </row>
    <row r="33" spans="2:33" ht="16" customHeight="1" x14ac:dyDescent="0.2">
      <c r="B33" s="191" t="s">
        <v>84</v>
      </c>
      <c r="C33" s="273">
        <f t="shared" ref="C33:N33" si="12">C23+C17+C11+C29</f>
        <v>0</v>
      </c>
      <c r="D33" s="273">
        <f t="shared" si="12"/>
        <v>0</v>
      </c>
      <c r="E33" s="296">
        <f t="shared" si="12"/>
        <v>102</v>
      </c>
      <c r="F33" s="273">
        <f t="shared" si="12"/>
        <v>102</v>
      </c>
      <c r="G33" s="273">
        <f t="shared" si="12"/>
        <v>102</v>
      </c>
      <c r="H33" s="273">
        <f t="shared" si="12"/>
        <v>102</v>
      </c>
      <c r="I33" s="273">
        <f t="shared" si="12"/>
        <v>102</v>
      </c>
      <c r="J33" s="273">
        <f t="shared" si="12"/>
        <v>102</v>
      </c>
      <c r="K33" s="273">
        <f t="shared" si="12"/>
        <v>102</v>
      </c>
      <c r="L33" s="273">
        <f t="shared" si="12"/>
        <v>102</v>
      </c>
      <c r="M33" s="273">
        <f t="shared" si="12"/>
        <v>102</v>
      </c>
      <c r="N33" s="273">
        <f t="shared" si="12"/>
        <v>102</v>
      </c>
      <c r="O33" s="214">
        <f>SUM(C33:N33)</f>
        <v>1020</v>
      </c>
      <c r="P33" s="273">
        <f t="shared" si="9"/>
        <v>408</v>
      </c>
      <c r="Q33" s="273">
        <f t="shared" si="9"/>
        <v>612</v>
      </c>
      <c r="R33" s="273">
        <f t="shared" si="9"/>
        <v>1122</v>
      </c>
      <c r="S33" s="273">
        <f t="shared" si="9"/>
        <v>1479</v>
      </c>
      <c r="T33" s="214">
        <f>SUM(P33:S33)</f>
        <v>3621</v>
      </c>
      <c r="U33" s="273">
        <f t="shared" si="10"/>
        <v>4029</v>
      </c>
      <c r="V33" s="273">
        <f t="shared" si="10"/>
        <v>4437</v>
      </c>
      <c r="W33" s="273">
        <f t="shared" si="10"/>
        <v>5202</v>
      </c>
      <c r="X33" s="273">
        <f t="shared" si="10"/>
        <v>5814</v>
      </c>
      <c r="Y33" s="214">
        <f>SUM(U33:X33)</f>
        <v>19482</v>
      </c>
      <c r="Z33" s="273">
        <f t="shared" si="11"/>
        <v>19686</v>
      </c>
      <c r="AA33" s="273">
        <f t="shared" si="11"/>
        <v>19890</v>
      </c>
      <c r="AB33" s="273">
        <f t="shared" si="11"/>
        <v>20808</v>
      </c>
      <c r="AC33" s="273">
        <f t="shared" si="11"/>
        <v>21318</v>
      </c>
      <c r="AD33" s="214">
        <f>SUM(Z33:AC33)</f>
        <v>81702</v>
      </c>
      <c r="AG33" s="278" t="s">
        <v>253</v>
      </c>
    </row>
    <row r="34" spans="2:33" ht="16" customHeight="1" x14ac:dyDescent="0.2">
      <c r="B34" s="191" t="s">
        <v>83</v>
      </c>
      <c r="C34" s="273">
        <f t="shared" ref="C34:N34" si="13">C24+C18+C12+C30</f>
        <v>0</v>
      </c>
      <c r="D34" s="273">
        <f t="shared" si="13"/>
        <v>0</v>
      </c>
      <c r="E34" s="296">
        <f t="shared" si="13"/>
        <v>-102</v>
      </c>
      <c r="F34" s="273">
        <f t="shared" si="13"/>
        <v>-102</v>
      </c>
      <c r="G34" s="273">
        <f t="shared" si="13"/>
        <v>-102</v>
      </c>
      <c r="H34" s="273">
        <f t="shared" si="13"/>
        <v>-102</v>
      </c>
      <c r="I34" s="273">
        <f t="shared" si="13"/>
        <v>-102</v>
      </c>
      <c r="J34" s="273">
        <f t="shared" si="13"/>
        <v>-102</v>
      </c>
      <c r="K34" s="273">
        <f t="shared" si="13"/>
        <v>-102</v>
      </c>
      <c r="L34" s="273">
        <f t="shared" si="13"/>
        <v>-102</v>
      </c>
      <c r="M34" s="273">
        <f t="shared" si="13"/>
        <v>-102</v>
      </c>
      <c r="N34" s="273">
        <f t="shared" si="13"/>
        <v>-102</v>
      </c>
      <c r="O34" s="214">
        <f>SUM(C34:N34)</f>
        <v>-1020</v>
      </c>
      <c r="P34" s="273">
        <f t="shared" si="9"/>
        <v>48334</v>
      </c>
      <c r="Q34" s="273">
        <f t="shared" si="9"/>
        <v>27606</v>
      </c>
      <c r="R34" s="273">
        <f t="shared" si="9"/>
        <v>67126</v>
      </c>
      <c r="S34" s="273">
        <f t="shared" si="9"/>
        <v>50872</v>
      </c>
      <c r="T34" s="214">
        <f>SUM(P34:S34)</f>
        <v>193938</v>
      </c>
      <c r="U34" s="273">
        <f t="shared" si="10"/>
        <v>66842</v>
      </c>
      <c r="V34" s="273">
        <f t="shared" si="10"/>
        <v>70776</v>
      </c>
      <c r="W34" s="273">
        <f t="shared" si="10"/>
        <v>117556</v>
      </c>
      <c r="X34" s="273">
        <f t="shared" si="10"/>
        <v>102662</v>
      </c>
      <c r="Y34" s="214">
        <f>SUM(U34:X34)</f>
        <v>357836</v>
      </c>
      <c r="Z34" s="273">
        <f t="shared" si="11"/>
        <v>133808</v>
      </c>
      <c r="AA34" s="273">
        <f t="shared" si="11"/>
        <v>137390</v>
      </c>
      <c r="AB34" s="273">
        <f t="shared" si="11"/>
        <v>222944</v>
      </c>
      <c r="AC34" s="273">
        <f t="shared" si="11"/>
        <v>174944</v>
      </c>
      <c r="AD34" s="214">
        <f>SUM(Z34:AC34)</f>
        <v>669086</v>
      </c>
      <c r="AG34"/>
    </row>
    <row r="35" spans="2:33" ht="16" customHeight="1" x14ac:dyDescent="0.2">
      <c r="P35" s="198"/>
      <c r="Q35" s="198"/>
      <c r="R35" s="198"/>
      <c r="S35" s="198"/>
      <c r="T35" s="274"/>
      <c r="AG35" t="s">
        <v>254</v>
      </c>
    </row>
    <row r="36" spans="2:33" ht="34" x14ac:dyDescent="0.2">
      <c r="B36" s="220" t="s">
        <v>79</v>
      </c>
      <c r="C36" s="220" t="s">
        <v>66</v>
      </c>
      <c r="D36" s="221" t="s">
        <v>282</v>
      </c>
      <c r="E36" s="169" t="s">
        <v>64</v>
      </c>
      <c r="AC36" s="283" t="s">
        <v>281</v>
      </c>
      <c r="AD36" s="284" t="b">
        <f>(AD32-AD33)=AD34</f>
        <v>1</v>
      </c>
      <c r="AG36"/>
    </row>
    <row r="37" spans="2:33" ht="16" customHeight="1" x14ac:dyDescent="0.2">
      <c r="B37" s="178" t="s">
        <v>211</v>
      </c>
      <c r="C37" s="179">
        <v>4200</v>
      </c>
      <c r="D37" s="180">
        <f>D70</f>
        <v>3390</v>
      </c>
      <c r="E37" s="176">
        <f>C37-D37</f>
        <v>810</v>
      </c>
      <c r="AG37" t="s">
        <v>255</v>
      </c>
    </row>
    <row r="38" spans="2:33" ht="16" customHeight="1" x14ac:dyDescent="0.2">
      <c r="B38" s="178" t="s">
        <v>212</v>
      </c>
      <c r="C38" s="179">
        <v>5900</v>
      </c>
      <c r="D38" s="180">
        <f>E70</f>
        <v>4745</v>
      </c>
      <c r="E38" s="176">
        <f>C38-D38</f>
        <v>1155</v>
      </c>
    </row>
    <row r="39" spans="2:33" ht="16" customHeight="1" x14ac:dyDescent="0.2">
      <c r="B39" s="178" t="s">
        <v>213</v>
      </c>
      <c r="C39" s="179">
        <v>8200</v>
      </c>
      <c r="D39" s="180">
        <f>F70</f>
        <v>6595</v>
      </c>
      <c r="E39" s="176">
        <f>C39-D39</f>
        <v>1605</v>
      </c>
    </row>
    <row r="41" spans="2:33" ht="55" customHeight="1" x14ac:dyDescent="0.2">
      <c r="B41" s="220" t="s">
        <v>79</v>
      </c>
      <c r="C41" s="220" t="s">
        <v>240</v>
      </c>
      <c r="D41" s="221" t="s">
        <v>65</v>
      </c>
      <c r="E41" s="220" t="s">
        <v>64</v>
      </c>
    </row>
    <row r="42" spans="2:33" x14ac:dyDescent="0.2">
      <c r="B42" s="178" t="s">
        <v>211</v>
      </c>
      <c r="C42" s="179">
        <v>219</v>
      </c>
      <c r="D42" s="180">
        <v>17</v>
      </c>
      <c r="E42" s="176">
        <f>C42-D42</f>
        <v>202</v>
      </c>
    </row>
    <row r="43" spans="2:33" x14ac:dyDescent="0.2">
      <c r="B43" s="178" t="s">
        <v>212</v>
      </c>
      <c r="C43" s="179">
        <v>349</v>
      </c>
      <c r="D43" s="180">
        <v>17</v>
      </c>
      <c r="E43" s="176">
        <f>C43-D43</f>
        <v>332</v>
      </c>
    </row>
    <row r="44" spans="2:33" x14ac:dyDescent="0.2">
      <c r="B44" s="178" t="s">
        <v>213</v>
      </c>
      <c r="C44" s="179">
        <v>459</v>
      </c>
      <c r="D44" s="180">
        <v>17</v>
      </c>
      <c r="E44" s="176">
        <f>C44-D44</f>
        <v>442</v>
      </c>
    </row>
    <row r="46" spans="2:33" x14ac:dyDescent="0.2">
      <c r="B46" s="165" t="s">
        <v>67</v>
      </c>
      <c r="F46" s="240"/>
    </row>
    <row r="47" spans="2:33" x14ac:dyDescent="0.2">
      <c r="B47" s="241" t="s">
        <v>87</v>
      </c>
      <c r="F47" s="242"/>
    </row>
    <row r="49" spans="2:12" x14ac:dyDescent="0.2">
      <c r="B49" s="243" t="s">
        <v>85</v>
      </c>
    </row>
    <row r="52" spans="2:12" x14ac:dyDescent="0.2">
      <c r="B52" s="166" t="s">
        <v>207</v>
      </c>
      <c r="L52" s="166" t="s">
        <v>244</v>
      </c>
    </row>
    <row r="53" spans="2:12" x14ac:dyDescent="0.2">
      <c r="L53" s="166" t="s">
        <v>245</v>
      </c>
    </row>
    <row r="54" spans="2:12" x14ac:dyDescent="0.2">
      <c r="B54" s="166" t="s">
        <v>208</v>
      </c>
    </row>
    <row r="56" spans="2:12" x14ac:dyDescent="0.2">
      <c r="B56" s="166" t="s">
        <v>209</v>
      </c>
      <c r="L56" s="166" t="s">
        <v>247</v>
      </c>
    </row>
    <row r="58" spans="2:12" x14ac:dyDescent="0.2">
      <c r="B58" s="166" t="s">
        <v>210</v>
      </c>
    </row>
    <row r="60" spans="2:12" ht="289" x14ac:dyDescent="0.2">
      <c r="B60" s="249" t="s">
        <v>214</v>
      </c>
    </row>
    <row r="61" spans="2:12" x14ac:dyDescent="0.2">
      <c r="B61" s="261"/>
      <c r="D61" s="250"/>
    </row>
    <row r="63" spans="2:12" x14ac:dyDescent="0.2">
      <c r="B63" s="269" t="s">
        <v>229</v>
      </c>
    </row>
    <row r="65" spans="2:6" x14ac:dyDescent="0.2">
      <c r="B65" s="79" t="s">
        <v>217</v>
      </c>
      <c r="C65" s="79" t="s">
        <v>218</v>
      </c>
      <c r="D65" s="79" t="s">
        <v>219</v>
      </c>
      <c r="E65" s="79" t="s">
        <v>220</v>
      </c>
      <c r="F65" s="79" t="s">
        <v>221</v>
      </c>
    </row>
    <row r="66" spans="2:6" x14ac:dyDescent="0.2">
      <c r="B66" s="44" t="s">
        <v>222</v>
      </c>
      <c r="C66" s="262">
        <v>55</v>
      </c>
      <c r="D66" s="262">
        <f>$C$66*18</f>
        <v>990</v>
      </c>
      <c r="E66" s="262">
        <f>$C$66*25</f>
        <v>1375</v>
      </c>
      <c r="F66" s="262">
        <f>$C$66*35</f>
        <v>1925</v>
      </c>
    </row>
    <row r="67" spans="2:6" x14ac:dyDescent="0.2">
      <c r="B67" s="44" t="s">
        <v>223</v>
      </c>
      <c r="C67" s="262">
        <v>62</v>
      </c>
      <c r="D67" s="263">
        <f>$C$67*36</f>
        <v>2232</v>
      </c>
      <c r="E67" s="263">
        <f>$C$67*50</f>
        <v>3100</v>
      </c>
      <c r="F67" s="263">
        <f>$C$67*70</f>
        <v>4340</v>
      </c>
    </row>
    <row r="68" spans="2:6" x14ac:dyDescent="0.2">
      <c r="B68" s="44" t="s">
        <v>224</v>
      </c>
      <c r="C68" s="262">
        <v>6</v>
      </c>
      <c r="D68" s="262">
        <f>$C$68*18</f>
        <v>108</v>
      </c>
      <c r="E68" s="262">
        <f>$C$68*25</f>
        <v>150</v>
      </c>
      <c r="F68" s="262">
        <f>$C$68*35</f>
        <v>210</v>
      </c>
    </row>
    <row r="69" spans="2:6" x14ac:dyDescent="0.2">
      <c r="B69" s="44" t="s">
        <v>225</v>
      </c>
      <c r="C69" s="262">
        <v>60</v>
      </c>
      <c r="D69" s="262">
        <f>C69</f>
        <v>60</v>
      </c>
      <c r="E69" s="262">
        <f>C69*2</f>
        <v>120</v>
      </c>
      <c r="F69" s="262">
        <f>C69*2</f>
        <v>120</v>
      </c>
    </row>
    <row r="70" spans="2:6" x14ac:dyDescent="0.2">
      <c r="B70" s="79" t="s">
        <v>226</v>
      </c>
      <c r="C70" s="44"/>
      <c r="D70" s="264">
        <f>SUM(D66:D69)</f>
        <v>3390</v>
      </c>
      <c r="E70" s="264">
        <f>SUM(E66:E69)</f>
        <v>4745</v>
      </c>
      <c r="F70" s="264">
        <f>SUM(F66:F69)</f>
        <v>6595</v>
      </c>
    </row>
    <row r="71" spans="2:6" x14ac:dyDescent="0.2">
      <c r="B71" s="44" t="s">
        <v>227</v>
      </c>
      <c r="C71" s="44"/>
      <c r="D71" s="263">
        <v>4200</v>
      </c>
      <c r="E71" s="263">
        <v>5900</v>
      </c>
      <c r="F71" s="263">
        <v>8200</v>
      </c>
    </row>
    <row r="72" spans="2:6" x14ac:dyDescent="0.2">
      <c r="B72" s="79" t="s">
        <v>228</v>
      </c>
      <c r="C72" s="44"/>
      <c r="D72" s="265">
        <f>D71-D70</f>
        <v>810</v>
      </c>
      <c r="E72" s="265">
        <f>E71-E70</f>
        <v>1155</v>
      </c>
      <c r="F72" s="265">
        <f>F71-F70</f>
        <v>1605</v>
      </c>
    </row>
    <row r="73" spans="2:6" x14ac:dyDescent="0.2">
      <c r="B73" s="44"/>
      <c r="C73" s="44"/>
      <c r="D73" s="263"/>
      <c r="E73" s="263"/>
      <c r="F73" s="263"/>
    </row>
    <row r="76" spans="2:6" x14ac:dyDescent="0.2">
      <c r="B76" s="269" t="s">
        <v>230</v>
      </c>
    </row>
    <row r="78" spans="2:6" x14ac:dyDescent="0.2">
      <c r="B78" s="266" t="s">
        <v>231</v>
      </c>
      <c r="C78" s="266" t="s">
        <v>232</v>
      </c>
    </row>
    <row r="79" spans="2:6" x14ac:dyDescent="0.2">
      <c r="B79" s="44" t="s">
        <v>233</v>
      </c>
      <c r="C79" s="267" t="s">
        <v>234</v>
      </c>
      <c r="D79" s="262"/>
    </row>
    <row r="80" spans="2:6" x14ac:dyDescent="0.2">
      <c r="B80" s="44" t="s">
        <v>235</v>
      </c>
      <c r="C80" s="267" t="s">
        <v>236</v>
      </c>
      <c r="D80" s="263"/>
    </row>
    <row r="81" spans="2:4" x14ac:dyDescent="0.2">
      <c r="B81" s="44" t="s">
        <v>237</v>
      </c>
      <c r="C81" s="267" t="s">
        <v>238</v>
      </c>
      <c r="D81" s="262"/>
    </row>
    <row r="82" spans="2:4" x14ac:dyDescent="0.2">
      <c r="B82" s="44" t="s">
        <v>226</v>
      </c>
      <c r="C82" s="262">
        <v>17</v>
      </c>
      <c r="D82" s="262"/>
    </row>
    <row r="84" spans="2:4" ht="153" x14ac:dyDescent="0.2">
      <c r="B84" s="249" t="s">
        <v>239</v>
      </c>
    </row>
  </sheetData>
  <sheetProtection formatColumns="0" formatRows="0"/>
  <conditionalFormatting sqref="B37:D39">
    <cfRule type="containsBlanks" dxfId="10" priority="11" stopIfTrue="1">
      <formula>LEN(TRIM(B37))=0</formula>
    </cfRule>
  </conditionalFormatting>
  <conditionalFormatting sqref="B42:D44">
    <cfRule type="containsBlanks" dxfId="9" priority="7" stopIfTrue="1">
      <formula>LEN(TRIM(B42))=0</formula>
    </cfRule>
  </conditionalFormatting>
  <conditionalFormatting sqref="C9:N9">
    <cfRule type="containsBlanks" dxfId="8" priority="1" stopIfTrue="1">
      <formula>LEN(TRIM(C9))=0</formula>
    </cfRule>
  </conditionalFormatting>
  <conditionalFormatting sqref="C15:N15">
    <cfRule type="containsBlanks" dxfId="7" priority="10" stopIfTrue="1">
      <formula>LEN(TRIM(C15))=0</formula>
    </cfRule>
  </conditionalFormatting>
  <conditionalFormatting sqref="C21:N21">
    <cfRule type="containsBlanks" dxfId="6" priority="9" stopIfTrue="1">
      <formula>LEN(TRIM(C21))=0</formula>
    </cfRule>
  </conditionalFormatting>
  <conditionalFormatting sqref="D5:N5 P5:S5 U5:X5">
    <cfRule type="containsBlanks" dxfId="5" priority="8">
      <formula>LEN(TRIM(D5))=0</formula>
    </cfRule>
  </conditionalFormatting>
  <conditionalFormatting sqref="Z5:AC5">
    <cfRule type="containsBlanks" dxfId="4" priority="6">
      <formula>LEN(TRIM(Z5))=0</formula>
    </cfRule>
  </conditionalFormatting>
  <conditionalFormatting sqref="AD36">
    <cfRule type="cellIs" dxfId="3" priority="4" operator="equal">
      <formula>TRUE</formula>
    </cfRule>
  </conditionalFormatting>
  <hyperlinks>
    <hyperlink ref="AG15" r:id="rId1" display="https://beglaubigt.de/blog/was-kostet-es-eine-gmbh-zu-gruenden" xr:uid="{9700A774-1A8A-664E-A18E-A6AD03DECE6D}"/>
  </hyperlinks>
  <printOptions horizontalCentered="1"/>
  <pageMargins left="0.25" right="0.25" top="0.75" bottom="0.75" header="0.3" footer="0.3"/>
  <pageSetup scale="62" orientation="landscape" r:id="rId2"/>
  <headerFooter scaleWithDoc="0">
    <oddHeader>&amp;C&amp;"Gill Sans MT,Regular"&amp;12Sales Forecst Year 1</oddHeader>
    <oddFooter>&amp;L&amp;"Gill Sans MT,Regular"&amp;12&amp;F&amp;C&amp;"Gill Sans MT,Regular"&amp;12&amp;A&amp;R&amp;"Gill Sans MT,Regular"&amp;12&amp;D &amp;T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5EE-9EC1-0346-A3A1-CAC8ED59DB5D}">
  <dimension ref="A1:Y48"/>
  <sheetViews>
    <sheetView showGridLines="0" tabSelected="1" zoomScale="80" zoomScaleNormal="80" workbookViewId="0">
      <selection activeCell="H39" sqref="H39"/>
    </sheetView>
  </sheetViews>
  <sheetFormatPr baseColWidth="10" defaultColWidth="10.83203125" defaultRowHeight="16" x14ac:dyDescent="0.2"/>
  <cols>
    <col min="1" max="1" width="2.6640625" style="44" customWidth="1"/>
    <col min="2" max="2" width="50" style="44" customWidth="1"/>
    <col min="3" max="3" width="10.6640625" style="44" customWidth="1"/>
    <col min="4" max="5" width="10.83203125" style="44"/>
    <col min="6" max="6" width="32.5" style="44" bestFit="1" customWidth="1"/>
    <col min="7" max="7" width="11" style="44" bestFit="1" customWidth="1"/>
    <col min="8" max="8" width="11.6640625" style="44" bestFit="1" customWidth="1"/>
    <col min="9" max="11" width="11" style="44" bestFit="1" customWidth="1"/>
    <col min="12" max="12" width="11.5" style="44" bestFit="1" customWidth="1"/>
    <col min="13" max="14" width="11.5" style="44" customWidth="1"/>
    <col min="15" max="15" width="14.1640625" style="44" bestFit="1" customWidth="1"/>
    <col min="16" max="16384" width="10.83203125" style="44"/>
  </cols>
  <sheetData>
    <row r="1" spans="1:25" x14ac:dyDescent="0.2">
      <c r="A1" s="44" t="s">
        <v>57</v>
      </c>
    </row>
    <row r="2" spans="1:25" ht="30" x14ac:dyDescent="0.3">
      <c r="B2" s="98" t="s">
        <v>111</v>
      </c>
      <c r="G2" s="162"/>
      <c r="I2" s="162"/>
      <c r="K2" s="162"/>
    </row>
    <row r="3" spans="1:25" x14ac:dyDescent="0.2">
      <c r="X3" s="45"/>
      <c r="Y3" s="45"/>
    </row>
    <row r="4" spans="1:25" ht="18" x14ac:dyDescent="0.2">
      <c r="B4" s="116" t="s">
        <v>205</v>
      </c>
      <c r="C4" s="116"/>
      <c r="D4" s="116"/>
      <c r="E4" s="162"/>
      <c r="F4" s="116" t="s">
        <v>151</v>
      </c>
      <c r="Q4" s="162"/>
    </row>
    <row r="5" spans="1:25" x14ac:dyDescent="0.2">
      <c r="B5" s="119" t="s">
        <v>127</v>
      </c>
      <c r="C5" s="65"/>
      <c r="E5" s="162"/>
      <c r="F5" s="57" t="s">
        <v>152</v>
      </c>
      <c r="G5" s="348" t="s">
        <v>100</v>
      </c>
      <c r="H5" s="349"/>
      <c r="I5" s="350" t="s">
        <v>105</v>
      </c>
      <c r="J5" s="351"/>
      <c r="K5" s="350" t="s">
        <v>110</v>
      </c>
      <c r="L5" s="351"/>
      <c r="M5" s="350" t="s">
        <v>248</v>
      </c>
      <c r="N5" s="351"/>
      <c r="O5" s="155" t="s">
        <v>175</v>
      </c>
      <c r="Q5" s="162"/>
    </row>
    <row r="6" spans="1:25" x14ac:dyDescent="0.2">
      <c r="B6" s="41" t="s">
        <v>128</v>
      </c>
      <c r="C6" s="70">
        <v>33</v>
      </c>
      <c r="F6" s="52"/>
      <c r="G6" s="58" t="s">
        <v>177</v>
      </c>
      <c r="H6" s="51" t="s">
        <v>178</v>
      </c>
      <c r="I6" s="58" t="s">
        <v>177</v>
      </c>
      <c r="J6" s="51" t="s">
        <v>178</v>
      </c>
      <c r="K6" s="58" t="s">
        <v>177</v>
      </c>
      <c r="L6" s="51" t="s">
        <v>178</v>
      </c>
      <c r="M6" s="58" t="s">
        <v>177</v>
      </c>
      <c r="N6" s="51" t="s">
        <v>178</v>
      </c>
      <c r="O6" s="156" t="s">
        <v>176</v>
      </c>
      <c r="Q6" s="162"/>
    </row>
    <row r="7" spans="1:25" x14ac:dyDescent="0.2">
      <c r="B7" s="41" t="s">
        <v>129</v>
      </c>
      <c r="C7" s="70"/>
      <c r="F7" s="53"/>
      <c r="G7" s="159" t="s">
        <v>174</v>
      </c>
      <c r="H7" s="160" t="s">
        <v>179</v>
      </c>
      <c r="I7" s="159" t="s">
        <v>174</v>
      </c>
      <c r="J7" s="160" t="s">
        <v>179</v>
      </c>
      <c r="K7" s="159" t="s">
        <v>174</v>
      </c>
      <c r="L7" s="160" t="s">
        <v>179</v>
      </c>
      <c r="M7" s="159" t="s">
        <v>174</v>
      </c>
      <c r="N7" s="160" t="s">
        <v>179</v>
      </c>
      <c r="O7" s="152"/>
      <c r="Q7" s="162"/>
    </row>
    <row r="8" spans="1:25" x14ac:dyDescent="0.2">
      <c r="B8" s="41" t="s">
        <v>130</v>
      </c>
      <c r="C8" s="70"/>
      <c r="E8" s="162"/>
      <c r="F8" s="54" t="s">
        <v>10</v>
      </c>
      <c r="J8" s="95"/>
      <c r="L8" s="95"/>
      <c r="M8" s="95"/>
      <c r="N8" s="95"/>
      <c r="O8" s="73"/>
      <c r="Q8" s="162"/>
      <c r="R8" s="162"/>
    </row>
    <row r="9" spans="1:25" x14ac:dyDescent="0.2">
      <c r="B9" s="41" t="s">
        <v>131</v>
      </c>
      <c r="C9" s="70"/>
      <c r="E9" s="162"/>
      <c r="F9" s="55" t="s">
        <v>153</v>
      </c>
      <c r="G9" s="121">
        <v>1</v>
      </c>
      <c r="H9" s="122">
        <v>0</v>
      </c>
      <c r="I9" s="121">
        <v>1</v>
      </c>
      <c r="J9" s="122">
        <v>24000</v>
      </c>
      <c r="K9" s="121">
        <v>1</v>
      </c>
      <c r="L9" s="127">
        <v>30000</v>
      </c>
      <c r="M9" s="121">
        <v>1</v>
      </c>
      <c r="N9" s="127">
        <v>36000</v>
      </c>
      <c r="O9" s="153">
        <v>0.21</v>
      </c>
      <c r="Q9" s="162"/>
      <c r="R9" s="162"/>
    </row>
    <row r="10" spans="1:25" x14ac:dyDescent="0.2">
      <c r="B10" s="41" t="s">
        <v>132</v>
      </c>
      <c r="C10" s="70">
        <v>150</v>
      </c>
      <c r="E10" s="162"/>
      <c r="F10" s="55" t="s">
        <v>154</v>
      </c>
      <c r="G10" s="123">
        <v>1</v>
      </c>
      <c r="H10" s="124">
        <v>0</v>
      </c>
      <c r="I10" s="123">
        <v>1</v>
      </c>
      <c r="J10" s="127">
        <v>24000</v>
      </c>
      <c r="K10" s="123">
        <v>1</v>
      </c>
      <c r="L10" s="127">
        <v>30000</v>
      </c>
      <c r="M10" s="123">
        <v>1</v>
      </c>
      <c r="N10" s="127">
        <v>36000</v>
      </c>
      <c r="O10" s="153">
        <v>0.21</v>
      </c>
      <c r="Q10" s="162"/>
      <c r="R10" s="162"/>
    </row>
    <row r="11" spans="1:25" x14ac:dyDescent="0.2">
      <c r="B11" s="41" t="s">
        <v>40</v>
      </c>
      <c r="C11" s="70">
        <v>150</v>
      </c>
      <c r="E11" s="162"/>
      <c r="F11" s="55" t="s">
        <v>155</v>
      </c>
      <c r="G11" s="123">
        <v>1</v>
      </c>
      <c r="H11" s="124">
        <v>0</v>
      </c>
      <c r="I11" s="123">
        <v>1</v>
      </c>
      <c r="J11" s="127">
        <v>24000</v>
      </c>
      <c r="K11" s="123">
        <v>1</v>
      </c>
      <c r="L11" s="127">
        <v>30000</v>
      </c>
      <c r="M11" s="123">
        <v>1</v>
      </c>
      <c r="N11" s="127">
        <v>36000</v>
      </c>
      <c r="O11" s="153">
        <v>0.21</v>
      </c>
      <c r="Q11" s="162"/>
    </row>
    <row r="12" spans="1:25" x14ac:dyDescent="0.2">
      <c r="B12" s="41" t="s">
        <v>292</v>
      </c>
      <c r="C12" s="70">
        <v>1500</v>
      </c>
      <c r="E12" s="162"/>
      <c r="F12" s="55" t="s">
        <v>241</v>
      </c>
      <c r="G12" s="123">
        <v>1</v>
      </c>
      <c r="H12" s="124">
        <v>0</v>
      </c>
      <c r="I12" s="123">
        <v>1</v>
      </c>
      <c r="J12" s="127">
        <v>24000</v>
      </c>
      <c r="K12" s="123">
        <v>1</v>
      </c>
      <c r="L12" s="127">
        <v>30000</v>
      </c>
      <c r="M12" s="123">
        <v>1</v>
      </c>
      <c r="N12" s="127">
        <v>36000</v>
      </c>
      <c r="O12" s="153">
        <v>0.21</v>
      </c>
      <c r="Q12" s="162"/>
    </row>
    <row r="13" spans="1:25" x14ac:dyDescent="0.2">
      <c r="B13" s="41"/>
      <c r="C13" s="70"/>
      <c r="E13" s="162"/>
      <c r="F13" s="55" t="s">
        <v>156</v>
      </c>
      <c r="G13" s="125">
        <v>1</v>
      </c>
      <c r="H13" s="126">
        <v>0</v>
      </c>
      <c r="I13" s="125">
        <v>1</v>
      </c>
      <c r="J13" s="128">
        <v>24000</v>
      </c>
      <c r="K13" s="125">
        <v>1</v>
      </c>
      <c r="L13" s="127">
        <v>30000</v>
      </c>
      <c r="M13" s="125">
        <v>1</v>
      </c>
      <c r="N13" s="128">
        <v>36000</v>
      </c>
      <c r="O13" s="153">
        <v>0.21</v>
      </c>
      <c r="Q13" s="162"/>
    </row>
    <row r="14" spans="1:25" x14ac:dyDescent="0.2">
      <c r="B14" s="66" t="s">
        <v>133</v>
      </c>
      <c r="C14" s="71">
        <f>SUM(C6:C12)</f>
        <v>1833</v>
      </c>
      <c r="E14" s="162"/>
      <c r="F14" s="93" t="s">
        <v>157</v>
      </c>
      <c r="G14" s="129"/>
      <c r="H14" s="130" cm="1">
        <f t="array" ref="H14">SUM(G9:G13*H9:H13*(1+O9:O13))</f>
        <v>0</v>
      </c>
      <c r="I14" s="129"/>
      <c r="J14" s="130" cm="1">
        <f t="array" ref="J14">SUM(I9:I13*J9:J13*(1+O9:O13))</f>
        <v>145200</v>
      </c>
      <c r="K14" s="129"/>
      <c r="L14" s="130" cm="1">
        <f t="array" ref="L14">SUM(K9:K13*L9:L13*(1+O9:O13))</f>
        <v>181500</v>
      </c>
      <c r="M14" s="130"/>
      <c r="N14" s="130" cm="1">
        <f t="array" ref="N14">SUM(M9:M13*N9:N13*(1+O9:O13))</f>
        <v>217800</v>
      </c>
      <c r="O14" s="163"/>
      <c r="Q14" s="162"/>
    </row>
    <row r="15" spans="1:25" x14ac:dyDescent="0.2">
      <c r="B15" s="64" t="s">
        <v>134</v>
      </c>
      <c r="C15" s="67"/>
      <c r="E15" s="162"/>
      <c r="F15" s="57" t="s">
        <v>158</v>
      </c>
      <c r="G15" s="94"/>
      <c r="H15" s="95"/>
      <c r="I15" s="95"/>
      <c r="J15" s="95"/>
      <c r="K15" s="95"/>
      <c r="L15" s="95"/>
      <c r="M15" s="95"/>
      <c r="N15" s="95"/>
      <c r="O15" s="73"/>
      <c r="Q15" s="162"/>
    </row>
    <row r="16" spans="1:25" x14ac:dyDescent="0.2">
      <c r="B16" s="41" t="s">
        <v>135</v>
      </c>
      <c r="C16" s="70"/>
      <c r="E16" s="162"/>
      <c r="F16" s="55" t="s">
        <v>159</v>
      </c>
      <c r="G16" s="123"/>
      <c r="H16" s="124"/>
      <c r="I16" s="123"/>
      <c r="J16" s="127"/>
      <c r="K16" s="123"/>
      <c r="L16" s="127"/>
      <c r="M16" s="127"/>
      <c r="N16" s="127"/>
      <c r="O16" s="153">
        <v>0.21</v>
      </c>
      <c r="Q16" s="162"/>
    </row>
    <row r="17" spans="2:17" x14ac:dyDescent="0.2">
      <c r="B17" s="41" t="s">
        <v>273</v>
      </c>
      <c r="C17" s="70"/>
      <c r="E17" s="162"/>
      <c r="F17" s="55" t="s">
        <v>160</v>
      </c>
      <c r="G17" s="123"/>
      <c r="H17" s="124"/>
      <c r="I17" s="123"/>
      <c r="J17" s="127"/>
      <c r="K17" s="123"/>
      <c r="L17" s="127"/>
      <c r="M17" s="127"/>
      <c r="N17" s="127"/>
      <c r="O17" s="153">
        <v>0.21</v>
      </c>
      <c r="Q17" s="162"/>
    </row>
    <row r="18" spans="2:17" x14ac:dyDescent="0.2">
      <c r="B18" s="41" t="s">
        <v>274</v>
      </c>
      <c r="C18" s="70">
        <v>25000</v>
      </c>
      <c r="E18" s="162"/>
      <c r="F18" s="55" t="s">
        <v>161</v>
      </c>
      <c r="G18" s="125"/>
      <c r="H18" s="126"/>
      <c r="I18" s="125"/>
      <c r="J18" s="128"/>
      <c r="K18" s="125"/>
      <c r="L18" s="128"/>
      <c r="M18" s="127"/>
      <c r="N18" s="127"/>
      <c r="O18" s="153">
        <v>0.21</v>
      </c>
      <c r="Q18" s="162"/>
    </row>
    <row r="19" spans="2:17" x14ac:dyDescent="0.2">
      <c r="B19" s="68" t="s">
        <v>136</v>
      </c>
      <c r="C19" s="70">
        <v>5000</v>
      </c>
      <c r="E19" s="162"/>
      <c r="F19" s="93" t="s">
        <v>157</v>
      </c>
      <c r="G19" s="129"/>
      <c r="H19" s="131" cm="1">
        <f t="array" ref="H19">SUM(G16:G18*H16:H18*(1+O16:O18))</f>
        <v>0</v>
      </c>
      <c r="I19" s="129"/>
      <c r="J19" s="131" cm="1">
        <f t="array" ref="J19">SUM(I15:I18*J15:J18*(1+O15:O18))</f>
        <v>0</v>
      </c>
      <c r="K19" s="129"/>
      <c r="L19" s="131" cm="1">
        <f t="array" ref="L19">SUM(K15:K18*L15:L18*(1+O15:O18))</f>
        <v>0</v>
      </c>
      <c r="M19" s="130"/>
      <c r="N19" s="130" cm="1">
        <f t="array" ref="N19">SUM(M14:M18*N14:N18*(1+O14:O18))</f>
        <v>0</v>
      </c>
      <c r="O19" s="163"/>
      <c r="Q19" s="162"/>
    </row>
    <row r="20" spans="2:17" x14ac:dyDescent="0.2">
      <c r="B20" s="68" t="s">
        <v>114</v>
      </c>
      <c r="C20" s="69"/>
      <c r="E20" s="162"/>
      <c r="F20" s="57" t="s">
        <v>162</v>
      </c>
      <c r="G20" s="94"/>
      <c r="H20" s="95"/>
      <c r="I20" s="95"/>
      <c r="J20" s="95"/>
      <c r="K20" s="95"/>
      <c r="L20" s="95"/>
      <c r="M20" s="95"/>
      <c r="N20" s="95"/>
      <c r="O20" s="73"/>
      <c r="Q20" s="162"/>
    </row>
    <row r="21" spans="2:17" x14ac:dyDescent="0.2">
      <c r="B21" s="66" t="s">
        <v>137</v>
      </c>
      <c r="C21" s="71">
        <f>SUM(C16:C20)</f>
        <v>30000</v>
      </c>
      <c r="E21" s="162"/>
      <c r="F21" s="55" t="s">
        <v>163</v>
      </c>
      <c r="G21" s="123"/>
      <c r="H21" s="124"/>
      <c r="I21" s="123"/>
      <c r="J21" s="127"/>
      <c r="K21" s="123"/>
      <c r="L21" s="127"/>
      <c r="M21" s="127"/>
      <c r="N21" s="127"/>
      <c r="O21" s="153">
        <v>0.21</v>
      </c>
      <c r="Q21" s="162"/>
    </row>
    <row r="22" spans="2:17" x14ac:dyDescent="0.2">
      <c r="B22" s="64" t="s">
        <v>138</v>
      </c>
      <c r="C22" s="67"/>
      <c r="E22" s="162"/>
      <c r="F22" s="55" t="s">
        <v>164</v>
      </c>
      <c r="G22" s="123"/>
      <c r="H22" s="124"/>
      <c r="I22" s="123"/>
      <c r="J22" s="127"/>
      <c r="K22" s="123"/>
      <c r="L22" s="127"/>
      <c r="M22" s="127"/>
      <c r="N22" s="127"/>
      <c r="O22" s="153">
        <v>0.21</v>
      </c>
      <c r="Q22" s="162"/>
    </row>
    <row r="23" spans="2:17" x14ac:dyDescent="0.2">
      <c r="B23" s="41" t="s">
        <v>41</v>
      </c>
      <c r="C23" s="70"/>
      <c r="D23" s="72"/>
      <c r="E23" s="162"/>
      <c r="F23" s="56" t="s">
        <v>165</v>
      </c>
      <c r="G23" s="125"/>
      <c r="H23" s="126"/>
      <c r="I23" s="125"/>
      <c r="J23" s="128"/>
      <c r="K23" s="125"/>
      <c r="L23" s="128"/>
      <c r="M23" s="127"/>
      <c r="N23" s="127"/>
      <c r="O23" s="153">
        <v>0.21</v>
      </c>
      <c r="Q23" s="162"/>
    </row>
    <row r="24" spans="2:17" x14ac:dyDescent="0.2">
      <c r="B24" s="41" t="s">
        <v>139</v>
      </c>
      <c r="C24" s="70">
        <v>290</v>
      </c>
      <c r="E24" s="162"/>
      <c r="F24" s="93" t="s">
        <v>157</v>
      </c>
      <c r="G24" s="129"/>
      <c r="H24" s="131" cm="1">
        <f t="array" ref="H24">SUM(G21:G23*H21:H23*(1+O21:O23))</f>
        <v>0</v>
      </c>
      <c r="I24" s="129"/>
      <c r="J24" s="131" cm="1">
        <f t="array" ref="J24">SUM(I20:I23*J20:J23*(1+O20:O23))</f>
        <v>0</v>
      </c>
      <c r="K24" s="129"/>
      <c r="L24" s="131" cm="1">
        <f t="array" ref="L24">SUM(K20:K23*L20:L23*(1+O20:O23))</f>
        <v>0</v>
      </c>
      <c r="M24" s="130"/>
      <c r="N24" s="130" cm="1">
        <f t="array" ref="N24">SUM(M19:M23*N19:N23*(1+O19:O23))</f>
        <v>0</v>
      </c>
      <c r="O24" s="163"/>
      <c r="Q24" s="162"/>
    </row>
    <row r="25" spans="2:17" x14ac:dyDescent="0.2">
      <c r="B25" s="66" t="s">
        <v>140</v>
      </c>
      <c r="C25" s="71">
        <f>SUM(C23:C24)</f>
        <v>290</v>
      </c>
      <c r="E25" s="162"/>
      <c r="F25" s="57" t="s">
        <v>166</v>
      </c>
      <c r="G25" s="94"/>
      <c r="H25" s="95"/>
      <c r="I25" s="95"/>
      <c r="J25" s="95"/>
      <c r="K25" s="95"/>
      <c r="L25" s="95"/>
      <c r="M25" s="95"/>
      <c r="N25" s="95"/>
      <c r="O25" s="73"/>
      <c r="Q25" s="162"/>
    </row>
    <row r="26" spans="2:17" x14ac:dyDescent="0.2">
      <c r="B26" s="68"/>
      <c r="C26" s="69"/>
      <c r="E26" s="162"/>
      <c r="F26" s="55" t="s">
        <v>45</v>
      </c>
      <c r="G26" s="123"/>
      <c r="H26" s="124"/>
      <c r="I26" s="123"/>
      <c r="J26" s="127"/>
      <c r="K26" s="123"/>
      <c r="L26" s="127"/>
      <c r="M26" s="127"/>
      <c r="N26" s="127"/>
      <c r="O26" s="153">
        <v>0.21</v>
      </c>
      <c r="Q26" s="162"/>
    </row>
    <row r="27" spans="2:17" x14ac:dyDescent="0.2">
      <c r="B27" s="66" t="s">
        <v>141</v>
      </c>
      <c r="C27" s="74">
        <f>SUM(C25,C14,C21)</f>
        <v>32123</v>
      </c>
      <c r="E27" s="162"/>
      <c r="F27" s="55" t="s">
        <v>167</v>
      </c>
      <c r="G27" s="123"/>
      <c r="H27" s="124"/>
      <c r="I27" s="123"/>
      <c r="J27" s="127"/>
      <c r="K27" s="123"/>
      <c r="L27" s="127"/>
      <c r="M27" s="127"/>
      <c r="N27" s="127"/>
      <c r="O27" s="153">
        <v>0.21</v>
      </c>
      <c r="Q27" s="162"/>
    </row>
    <row r="28" spans="2:17" x14ac:dyDescent="0.2">
      <c r="E28" s="162"/>
      <c r="F28" s="56" t="s">
        <v>46</v>
      </c>
      <c r="G28" s="125"/>
      <c r="H28" s="126"/>
      <c r="I28" s="125"/>
      <c r="J28" s="128"/>
      <c r="K28" s="125"/>
      <c r="L28" s="128"/>
      <c r="M28" s="127"/>
      <c r="N28" s="127"/>
      <c r="O28" s="153">
        <v>0.21</v>
      </c>
      <c r="Q28" s="162"/>
    </row>
    <row r="29" spans="2:17" ht="18" x14ac:dyDescent="0.2">
      <c r="B29" s="116" t="s">
        <v>142</v>
      </c>
      <c r="E29" s="162"/>
      <c r="F29" s="93" t="s">
        <v>157</v>
      </c>
      <c r="G29" s="129"/>
      <c r="H29" s="131" cm="1">
        <f t="array" ref="H29">SUM(G26:G28*H26:H28*(1+O26:O28))</f>
        <v>0</v>
      </c>
      <c r="I29" s="129"/>
      <c r="J29" s="131" cm="1">
        <f t="array" ref="J29">SUM(I25:I28*J25:J28*(1+O25:O28))</f>
        <v>0</v>
      </c>
      <c r="K29" s="129"/>
      <c r="L29" s="131" cm="1">
        <f t="array" ref="L29">SUM(K25:K28*L25:L28*(1+O25:O28))</f>
        <v>0</v>
      </c>
      <c r="M29" s="130"/>
      <c r="N29" s="130" cm="1">
        <f t="array" ref="N29">SUM(M24:M28*N24:N28*(1+O24:O28))</f>
        <v>0</v>
      </c>
      <c r="O29" s="163"/>
      <c r="Q29" s="162"/>
    </row>
    <row r="30" spans="2:17" x14ac:dyDescent="0.2">
      <c r="B30" s="119" t="s">
        <v>143</v>
      </c>
      <c r="C30" s="65"/>
      <c r="E30" s="162"/>
      <c r="F30" s="57" t="s">
        <v>168</v>
      </c>
      <c r="G30" s="94"/>
      <c r="H30" s="95"/>
      <c r="I30" s="95"/>
      <c r="J30" s="95"/>
      <c r="K30" s="95"/>
      <c r="L30" s="95"/>
      <c r="M30" s="95"/>
      <c r="N30" s="95"/>
      <c r="O30" s="73"/>
      <c r="Q30" s="162"/>
    </row>
    <row r="31" spans="2:17" x14ac:dyDescent="0.2">
      <c r="B31" s="41" t="s">
        <v>144</v>
      </c>
      <c r="C31" s="70">
        <v>0</v>
      </c>
      <c r="E31" s="162"/>
      <c r="F31" s="55" t="s">
        <v>169</v>
      </c>
      <c r="G31" s="123"/>
      <c r="H31" s="124"/>
      <c r="I31" s="123"/>
      <c r="J31" s="127"/>
      <c r="K31" s="123"/>
      <c r="L31" s="127"/>
      <c r="M31" s="127"/>
      <c r="N31" s="127"/>
      <c r="O31" s="153">
        <v>0.21</v>
      </c>
      <c r="Q31" s="162"/>
    </row>
    <row r="32" spans="2:17" x14ac:dyDescent="0.2">
      <c r="B32" s="68" t="s">
        <v>145</v>
      </c>
      <c r="C32" s="70">
        <v>0</v>
      </c>
      <c r="E32" s="162"/>
      <c r="F32" s="55" t="s">
        <v>3</v>
      </c>
      <c r="G32" s="123"/>
      <c r="H32" s="124"/>
      <c r="I32" s="123"/>
      <c r="J32" s="127"/>
      <c r="K32" s="123"/>
      <c r="L32" s="127"/>
      <c r="M32" s="127"/>
      <c r="N32" s="127"/>
      <c r="O32" s="153">
        <v>0.21</v>
      </c>
      <c r="Q32" s="162"/>
    </row>
    <row r="33" spans="2:17" x14ac:dyDescent="0.2">
      <c r="B33" s="66" t="s">
        <v>146</v>
      </c>
      <c r="C33" s="71">
        <f>SUM(C31:C32)</f>
        <v>0</v>
      </c>
      <c r="E33" s="162"/>
      <c r="F33" s="56" t="s">
        <v>170</v>
      </c>
      <c r="G33" s="125"/>
      <c r="H33" s="126"/>
      <c r="I33" s="125"/>
      <c r="J33" s="128"/>
      <c r="K33" s="125"/>
      <c r="L33" s="128"/>
      <c r="M33" s="127"/>
      <c r="N33" s="127"/>
      <c r="O33" s="153">
        <v>0.21</v>
      </c>
      <c r="Q33" s="162"/>
    </row>
    <row r="34" spans="2:17" x14ac:dyDescent="0.2">
      <c r="B34" s="119" t="s">
        <v>147</v>
      </c>
      <c r="C34" s="65"/>
      <c r="E34" s="162"/>
      <c r="F34" s="93" t="s">
        <v>157</v>
      </c>
      <c r="G34" s="129"/>
      <c r="H34" s="131" cm="1">
        <f t="array" ref="H34">SUM(G31:G33*H31:H33*(1+O31:O33))</f>
        <v>0</v>
      </c>
      <c r="I34" s="129"/>
      <c r="J34" s="131" cm="1">
        <f t="array" ref="J34">SUM(I30:I33*J30:J33*(1+O30:O33))</f>
        <v>0</v>
      </c>
      <c r="K34" s="129"/>
      <c r="L34" s="131" cm="1">
        <f t="array" ref="L34">SUM(K30:K33*L30:L33*(1+O30:O33))</f>
        <v>0</v>
      </c>
      <c r="M34" s="130"/>
      <c r="N34" s="130" cm="1">
        <f t="array" ref="N34">SUM(M29:M33*N29:N33*(1+O29:O33))</f>
        <v>0</v>
      </c>
      <c r="O34" s="163"/>
      <c r="Q34" s="162"/>
    </row>
    <row r="35" spans="2:17" x14ac:dyDescent="0.2">
      <c r="B35" s="41" t="s">
        <v>148</v>
      </c>
      <c r="C35" s="70">
        <v>0</v>
      </c>
      <c r="E35" s="162"/>
      <c r="F35" s="151" t="s">
        <v>171</v>
      </c>
      <c r="G35" s="133"/>
      <c r="H35" s="157"/>
      <c r="I35" s="158"/>
      <c r="J35" s="157"/>
      <c r="K35" s="158"/>
      <c r="L35" s="157"/>
      <c r="M35" s="157"/>
      <c r="N35" s="157"/>
      <c r="O35" s="73"/>
      <c r="Q35" s="162"/>
    </row>
    <row r="36" spans="2:17" x14ac:dyDescent="0.2">
      <c r="B36" s="41" t="s">
        <v>293</v>
      </c>
      <c r="C36" s="70">
        <f>8*'1 Produkt- und Absatzplanung '!E9</f>
        <v>48</v>
      </c>
      <c r="E36" s="162"/>
      <c r="F36" s="68" t="s">
        <v>172</v>
      </c>
      <c r="G36" s="106"/>
      <c r="K36" s="44">
        <v>1</v>
      </c>
      <c r="L36" s="127">
        <v>14400</v>
      </c>
      <c r="M36" s="69">
        <v>1</v>
      </c>
      <c r="N36" s="127">
        <v>16640</v>
      </c>
      <c r="O36" s="154">
        <v>0.21</v>
      </c>
      <c r="Q36" s="162"/>
    </row>
    <row r="37" spans="2:17" ht="34" x14ac:dyDescent="0.2">
      <c r="B37" s="299" t="s">
        <v>294</v>
      </c>
      <c r="C37" s="70">
        <v>52</v>
      </c>
      <c r="E37" s="162"/>
      <c r="F37" s="93" t="s">
        <v>157</v>
      </c>
      <c r="G37" s="129"/>
      <c r="H37" s="131" cm="1">
        <f t="array" aca="1" ref="H37" ca="1">SUM(G36:G37*H36:H37*(1+O36:O37))</f>
        <v>0</v>
      </c>
      <c r="I37" s="129"/>
      <c r="J37" s="131" cm="1">
        <f t="array" ref="J37">SUM(I35:I36*J35:J36*(1+O35:O36))</f>
        <v>0</v>
      </c>
      <c r="K37" s="129"/>
      <c r="L37" s="131" cm="1">
        <f t="array" ref="L37">SUM(K35:K36*L35:L36*(1+O35:O36))</f>
        <v>17424</v>
      </c>
      <c r="M37" s="131"/>
      <c r="N37" s="131" cm="1">
        <f t="array" ref="N37">SUM(M35:M36*N35:N36*(1+O35:O36))</f>
        <v>20134.399999999998</v>
      </c>
      <c r="O37" s="163"/>
      <c r="Q37" s="162"/>
    </row>
    <row r="38" spans="2:17" x14ac:dyDescent="0.2">
      <c r="B38" s="68" t="s">
        <v>149</v>
      </c>
      <c r="C38" s="70">
        <v>50</v>
      </c>
      <c r="E38" s="162"/>
      <c r="F38" s="94"/>
      <c r="G38" s="95"/>
      <c r="H38" s="95"/>
      <c r="I38" s="95"/>
      <c r="J38" s="95"/>
      <c r="K38" s="95"/>
      <c r="L38" s="95"/>
      <c r="M38" s="95"/>
      <c r="N38" s="95"/>
      <c r="O38" s="73"/>
      <c r="Q38" s="162"/>
    </row>
    <row r="39" spans="2:17" x14ac:dyDescent="0.2">
      <c r="B39" s="66" t="s">
        <v>150</v>
      </c>
      <c r="C39" s="71">
        <f>SUM(C35:C38)</f>
        <v>150</v>
      </c>
      <c r="D39" s="44" t="s">
        <v>57</v>
      </c>
      <c r="E39" s="162"/>
      <c r="F39" s="63" t="s">
        <v>173</v>
      </c>
      <c r="G39" s="132"/>
      <c r="H39" s="131">
        <f ca="1">H14+H19+H24+H29+H34+H37</f>
        <v>0</v>
      </c>
      <c r="I39" s="129"/>
      <c r="J39" s="131">
        <f>J14+J19+J24+J29+J34+J37</f>
        <v>145200</v>
      </c>
      <c r="K39" s="129"/>
      <c r="L39" s="131">
        <f>L14+L19+L24+L29+L34+L37</f>
        <v>198924</v>
      </c>
      <c r="M39" s="131"/>
      <c r="N39" s="131">
        <f>N14+N19+N24+N29+N34+N37</f>
        <v>237934.4</v>
      </c>
      <c r="O39" s="163"/>
    </row>
    <row r="40" spans="2:17" x14ac:dyDescent="0.2">
      <c r="B40" s="68"/>
      <c r="C40" s="69"/>
    </row>
    <row r="41" spans="2:17" x14ac:dyDescent="0.2">
      <c r="B41" s="66" t="s">
        <v>141</v>
      </c>
      <c r="C41" s="74">
        <f>C27+C39</f>
        <v>32273</v>
      </c>
      <c r="E41" s="162"/>
    </row>
    <row r="44" spans="2:17" ht="68" x14ac:dyDescent="0.2">
      <c r="B44" s="276" t="s">
        <v>242</v>
      </c>
    </row>
    <row r="45" spans="2:17" ht="68" x14ac:dyDescent="0.2">
      <c r="B45" s="276" t="s">
        <v>243</v>
      </c>
    </row>
    <row r="48" spans="2:17" x14ac:dyDescent="0.2">
      <c r="B48" t="s">
        <v>275</v>
      </c>
    </row>
  </sheetData>
  <mergeCells count="4">
    <mergeCell ref="G5:H5"/>
    <mergeCell ref="I5:J5"/>
    <mergeCell ref="K5:L5"/>
    <mergeCell ref="M5:N5"/>
  </mergeCells>
  <pageMargins left="0.7" right="0.7" top="0.75" bottom="0.75" header="0.3" footer="0.3"/>
  <pageSetup paperSize="9" orientation="portrait" horizontalDpi="0" verticalDpi="0"/>
  <ignoredErrors>
    <ignoredError sqref="H15:L15 H17:L18 I16:L16 K14 I14 H14 J14 L14 H35:L35 H30:L33 H25:L28 H20:L23 H19:L19 H24:L24 H29:L29 H34:L3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794F-A386-3A4C-8276-29E22309A24A}">
  <dimension ref="B2:AF58"/>
  <sheetViews>
    <sheetView showGridLines="0" zoomScaleNormal="100" workbookViewId="0">
      <pane xSplit="2" ySplit="4" topLeftCell="R5" activePane="bottomRight" state="frozen"/>
      <selection pane="topRight" activeCell="C1" sqref="C1"/>
      <selection pane="bottomLeft" activeCell="A5" sqref="A5"/>
      <selection pane="bottomRight" activeCell="AD16" sqref="AD16"/>
    </sheetView>
  </sheetViews>
  <sheetFormatPr baseColWidth="10" defaultColWidth="10.83203125" defaultRowHeight="16" outlineLevelRow="1" x14ac:dyDescent="0.2"/>
  <cols>
    <col min="1" max="1" width="2.6640625" style="44" customWidth="1"/>
    <col min="2" max="2" width="35.1640625" style="44" customWidth="1"/>
    <col min="3" max="14" width="10.83203125" style="44" customWidth="1"/>
    <col min="15" max="15" width="10.83203125" style="44"/>
    <col min="16" max="19" width="10.83203125" style="44" customWidth="1"/>
    <col min="20" max="20" width="10.83203125" style="44"/>
    <col min="21" max="24" width="10.83203125" style="44" customWidth="1"/>
    <col min="25" max="25" width="11.33203125" style="44" bestFit="1" customWidth="1"/>
    <col min="26" max="31" width="10.83203125" style="44"/>
    <col min="32" max="32" width="33.83203125" style="44" customWidth="1"/>
    <col min="33" max="16384" width="10.83203125" style="44"/>
  </cols>
  <sheetData>
    <row r="2" spans="2:32" ht="30" x14ac:dyDescent="0.3">
      <c r="B2" s="98" t="s">
        <v>112</v>
      </c>
    </row>
    <row r="3" spans="2:32" x14ac:dyDescent="0.2">
      <c r="B3" s="97"/>
    </row>
    <row r="4" spans="2:32" x14ac:dyDescent="0.2">
      <c r="B4" s="3"/>
      <c r="C4" s="46" t="s">
        <v>88</v>
      </c>
      <c r="D4" s="46" t="s">
        <v>89</v>
      </c>
      <c r="E4" s="46" t="s">
        <v>90</v>
      </c>
      <c r="F4" s="46" t="s">
        <v>91</v>
      </c>
      <c r="G4" s="46" t="s">
        <v>92</v>
      </c>
      <c r="H4" s="46" t="s">
        <v>93</v>
      </c>
      <c r="I4" s="46" t="s">
        <v>94</v>
      </c>
      <c r="J4" s="46" t="s">
        <v>95</v>
      </c>
      <c r="K4" s="46" t="s">
        <v>96</v>
      </c>
      <c r="L4" s="46" t="s">
        <v>97</v>
      </c>
      <c r="M4" s="46" t="s">
        <v>98</v>
      </c>
      <c r="N4" s="46" t="s">
        <v>99</v>
      </c>
      <c r="O4" s="27" t="s">
        <v>100</v>
      </c>
      <c r="P4" s="46" t="s">
        <v>101</v>
      </c>
      <c r="Q4" s="46" t="s">
        <v>102</v>
      </c>
      <c r="R4" s="46" t="s">
        <v>103</v>
      </c>
      <c r="S4" s="46" t="s">
        <v>104</v>
      </c>
      <c r="T4" s="27" t="s">
        <v>105</v>
      </c>
      <c r="U4" s="47" t="s">
        <v>106</v>
      </c>
      <c r="V4" s="47" t="s">
        <v>107</v>
      </c>
      <c r="W4" s="47" t="s">
        <v>108</v>
      </c>
      <c r="X4" s="47" t="s">
        <v>109</v>
      </c>
      <c r="Y4" s="4" t="s">
        <v>110</v>
      </c>
      <c r="Z4" s="47" t="s">
        <v>249</v>
      </c>
      <c r="AA4" s="47" t="s">
        <v>250</v>
      </c>
      <c r="AB4" s="47" t="s">
        <v>251</v>
      </c>
      <c r="AC4" s="47" t="s">
        <v>252</v>
      </c>
      <c r="AD4" s="4" t="s">
        <v>248</v>
      </c>
    </row>
    <row r="5" spans="2:32" ht="18" x14ac:dyDescent="0.2">
      <c r="B5" s="118" t="s">
        <v>113</v>
      </c>
      <c r="C5" s="28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5"/>
      <c r="P5" s="2"/>
      <c r="Q5" s="2"/>
      <c r="R5" s="2"/>
      <c r="S5" s="2"/>
      <c r="T5" s="5"/>
      <c r="U5" s="2"/>
      <c r="V5" s="2"/>
      <c r="W5" s="2"/>
      <c r="X5" s="2"/>
      <c r="Y5" s="5"/>
      <c r="Z5" s="2"/>
      <c r="AA5" s="2"/>
      <c r="AB5" s="2"/>
      <c r="AC5" s="2"/>
      <c r="AD5" s="5"/>
    </row>
    <row r="6" spans="2:32" x14ac:dyDescent="0.2">
      <c r="B6" s="6" t="s">
        <v>0</v>
      </c>
      <c r="C6" s="302">
        <v>0</v>
      </c>
      <c r="D6" s="302">
        <v>0</v>
      </c>
      <c r="E6" s="302">
        <v>0</v>
      </c>
      <c r="F6" s="302">
        <v>0</v>
      </c>
      <c r="G6" s="302">
        <v>0</v>
      </c>
      <c r="H6" s="302">
        <v>0</v>
      </c>
      <c r="I6" s="302">
        <v>0</v>
      </c>
      <c r="J6" s="302">
        <v>0</v>
      </c>
      <c r="K6" s="302">
        <v>0</v>
      </c>
      <c r="L6" s="302">
        <v>0</v>
      </c>
      <c r="M6" s="302">
        <v>0</v>
      </c>
      <c r="N6" s="303">
        <v>0</v>
      </c>
      <c r="O6" s="304">
        <f>SUM(C6:N6)</f>
        <v>0</v>
      </c>
      <c r="P6" s="302">
        <f>'1 Produkt- und Absatzplanung '!P32</f>
        <v>48742</v>
      </c>
      <c r="Q6" s="302">
        <f>'1 Produkt- und Absatzplanung '!Q32</f>
        <v>28218</v>
      </c>
      <c r="R6" s="302">
        <f>'1 Produkt- und Absatzplanung '!R32</f>
        <v>68248</v>
      </c>
      <c r="S6" s="302">
        <f>'1 Produkt- und Absatzplanung '!S32</f>
        <v>52351</v>
      </c>
      <c r="T6" s="304">
        <f>SUM(P6:S6)</f>
        <v>197559</v>
      </c>
      <c r="U6" s="302">
        <f>'1 Produkt- und Absatzplanung '!U32</f>
        <v>70871</v>
      </c>
      <c r="V6" s="302">
        <f>'1 Produkt- und Absatzplanung '!V32</f>
        <v>75213</v>
      </c>
      <c r="W6" s="302">
        <f>'1 Produkt- und Absatzplanung '!W32</f>
        <v>122758</v>
      </c>
      <c r="X6" s="302">
        <f>'1 Produkt- und Absatzplanung '!X32</f>
        <v>108476</v>
      </c>
      <c r="Y6" s="304">
        <f>SUM(U6:X6)</f>
        <v>377318</v>
      </c>
      <c r="Z6" s="302">
        <f>'1 Produkt- und Absatzplanung '!Z32</f>
        <v>153494</v>
      </c>
      <c r="AA6" s="302">
        <f>'1 Produkt- und Absatzplanung '!AA32</f>
        <v>157280</v>
      </c>
      <c r="AB6" s="302">
        <f>'1 Produkt- und Absatzplanung '!AB32</f>
        <v>243752</v>
      </c>
      <c r="AC6" s="302">
        <f>'1 Produkt- und Absatzplanung '!AC32</f>
        <v>196262</v>
      </c>
      <c r="AD6" s="304">
        <f>SUM(Z6:AC6)</f>
        <v>750788</v>
      </c>
    </row>
    <row r="7" spans="2:32" x14ac:dyDescent="0.2">
      <c r="B7" s="6" t="s">
        <v>1</v>
      </c>
      <c r="C7" s="302">
        <v>0</v>
      </c>
      <c r="D7" s="302">
        <v>0</v>
      </c>
      <c r="E7" s="302">
        <v>0</v>
      </c>
      <c r="F7" s="302">
        <v>0</v>
      </c>
      <c r="G7" s="302">
        <v>0</v>
      </c>
      <c r="H7" s="302">
        <v>0</v>
      </c>
      <c r="I7" s="302">
        <v>0</v>
      </c>
      <c r="J7" s="302">
        <v>0</v>
      </c>
      <c r="K7" s="302">
        <v>0</v>
      </c>
      <c r="L7" s="302">
        <v>0</v>
      </c>
      <c r="M7" s="302">
        <v>0</v>
      </c>
      <c r="N7" s="303">
        <v>0</v>
      </c>
      <c r="O7" s="304">
        <f t="shared" ref="O7:O10" si="0">SUM(C7:N7)</f>
        <v>0</v>
      </c>
      <c r="P7" s="298"/>
      <c r="Q7" s="298"/>
      <c r="R7" s="298"/>
      <c r="S7" s="298"/>
      <c r="T7" s="304">
        <f t="shared" ref="T7:T10" si="1">SUM(P7:S7)</f>
        <v>0</v>
      </c>
      <c r="U7" s="298"/>
      <c r="V7" s="298"/>
      <c r="W7" s="298"/>
      <c r="X7" s="298"/>
      <c r="Y7" s="304">
        <f t="shared" ref="Y7:Y10" si="2">SUM(U7:X7)</f>
        <v>0</v>
      </c>
      <c r="Z7" s="298"/>
      <c r="AA7" s="298"/>
      <c r="AB7" s="298"/>
      <c r="AC7" s="298"/>
      <c r="AD7" s="304">
        <f t="shared" ref="AD7:AD10" si="3">SUM(Z7:AC7)</f>
        <v>0</v>
      </c>
      <c r="AF7" s="275"/>
    </row>
    <row r="8" spans="2:32" x14ac:dyDescent="0.2">
      <c r="B8" s="6" t="s">
        <v>114</v>
      </c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1"/>
      <c r="O8" s="304">
        <f t="shared" si="0"/>
        <v>0</v>
      </c>
      <c r="P8" s="298"/>
      <c r="Q8" s="298"/>
      <c r="R8" s="298"/>
      <c r="S8" s="298"/>
      <c r="T8" s="304">
        <f t="shared" si="1"/>
        <v>0</v>
      </c>
      <c r="U8" s="298"/>
      <c r="V8" s="298"/>
      <c r="W8" s="298"/>
      <c r="X8" s="298"/>
      <c r="Y8" s="304">
        <f t="shared" si="2"/>
        <v>0</v>
      </c>
      <c r="Z8" s="298"/>
      <c r="AA8" s="298"/>
      <c r="AB8" s="298"/>
      <c r="AC8" s="298"/>
      <c r="AD8" s="304">
        <f t="shared" si="3"/>
        <v>0</v>
      </c>
    </row>
    <row r="9" spans="2:32" x14ac:dyDescent="0.2">
      <c r="B9" s="6" t="s">
        <v>114</v>
      </c>
      <c r="C9" s="300"/>
      <c r="D9" s="300"/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4">
        <f t="shared" si="0"/>
        <v>0</v>
      </c>
      <c r="P9" s="298"/>
      <c r="Q9" s="298"/>
      <c r="R9" s="298"/>
      <c r="S9" s="298"/>
      <c r="T9" s="304">
        <f t="shared" si="1"/>
        <v>0</v>
      </c>
      <c r="U9" s="298"/>
      <c r="V9" s="298"/>
      <c r="W9" s="298"/>
      <c r="X9" s="298"/>
      <c r="Y9" s="304">
        <f t="shared" si="2"/>
        <v>0</v>
      </c>
      <c r="Z9" s="298"/>
      <c r="AA9" s="298"/>
      <c r="AB9" s="298"/>
      <c r="AC9" s="298"/>
      <c r="AD9" s="304">
        <f t="shared" si="3"/>
        <v>0</v>
      </c>
    </row>
    <row r="10" spans="2:32" x14ac:dyDescent="0.2">
      <c r="B10" s="6" t="s">
        <v>114</v>
      </c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304">
        <f t="shared" si="0"/>
        <v>0</v>
      </c>
      <c r="P10" s="298"/>
      <c r="Q10" s="298"/>
      <c r="R10" s="298"/>
      <c r="S10" s="298"/>
      <c r="T10" s="304">
        <f t="shared" si="1"/>
        <v>0</v>
      </c>
      <c r="U10" s="298"/>
      <c r="V10" s="298"/>
      <c r="W10" s="298"/>
      <c r="X10" s="298"/>
      <c r="Y10" s="304">
        <f t="shared" si="2"/>
        <v>0</v>
      </c>
      <c r="Z10" s="7"/>
      <c r="AA10" s="7"/>
      <c r="AB10" s="7"/>
      <c r="AC10" s="7"/>
      <c r="AD10" s="304">
        <f t="shared" si="3"/>
        <v>0</v>
      </c>
    </row>
    <row r="11" spans="2:32" x14ac:dyDescent="0.2">
      <c r="B11" s="60" t="s">
        <v>2</v>
      </c>
      <c r="C11" s="305">
        <f>SUM(C6:C10)</f>
        <v>0</v>
      </c>
      <c r="D11" s="305">
        <f t="shared" ref="D11:Y11" si="4">SUM(D6:D10)</f>
        <v>0</v>
      </c>
      <c r="E11" s="305">
        <f t="shared" si="4"/>
        <v>0</v>
      </c>
      <c r="F11" s="305">
        <f t="shared" si="4"/>
        <v>0</v>
      </c>
      <c r="G11" s="305">
        <f t="shared" si="4"/>
        <v>0</v>
      </c>
      <c r="H11" s="305">
        <f t="shared" si="4"/>
        <v>0</v>
      </c>
      <c r="I11" s="305">
        <f t="shared" si="4"/>
        <v>0</v>
      </c>
      <c r="J11" s="305">
        <f t="shared" si="4"/>
        <v>0</v>
      </c>
      <c r="K11" s="305">
        <f t="shared" si="4"/>
        <v>0</v>
      </c>
      <c r="L11" s="305">
        <f t="shared" si="4"/>
        <v>0</v>
      </c>
      <c r="M11" s="305">
        <f t="shared" si="4"/>
        <v>0</v>
      </c>
      <c r="N11" s="305">
        <f t="shared" si="4"/>
        <v>0</v>
      </c>
      <c r="O11" s="306">
        <f t="shared" si="4"/>
        <v>0</v>
      </c>
      <c r="P11" s="305">
        <f t="shared" si="4"/>
        <v>48742</v>
      </c>
      <c r="Q11" s="305">
        <f t="shared" si="4"/>
        <v>28218</v>
      </c>
      <c r="R11" s="305">
        <f t="shared" si="4"/>
        <v>68248</v>
      </c>
      <c r="S11" s="305">
        <f t="shared" si="4"/>
        <v>52351</v>
      </c>
      <c r="T11" s="306">
        <f t="shared" si="4"/>
        <v>197559</v>
      </c>
      <c r="U11" s="307">
        <f t="shared" si="4"/>
        <v>70871</v>
      </c>
      <c r="V11" s="307">
        <f t="shared" si="4"/>
        <v>75213</v>
      </c>
      <c r="W11" s="307">
        <f t="shared" si="4"/>
        <v>122758</v>
      </c>
      <c r="X11" s="307">
        <f t="shared" si="4"/>
        <v>108476</v>
      </c>
      <c r="Y11" s="308">
        <f t="shared" si="4"/>
        <v>377318</v>
      </c>
      <c r="Z11" s="307">
        <f t="shared" ref="Z11:AD11" si="5">SUM(Z6:Z10)</f>
        <v>153494</v>
      </c>
      <c r="AA11" s="307">
        <f t="shared" si="5"/>
        <v>157280</v>
      </c>
      <c r="AB11" s="307">
        <f t="shared" si="5"/>
        <v>243752</v>
      </c>
      <c r="AC11" s="307">
        <f t="shared" si="5"/>
        <v>196262</v>
      </c>
      <c r="AD11" s="308">
        <f t="shared" si="5"/>
        <v>750788</v>
      </c>
    </row>
    <row r="12" spans="2:32" x14ac:dyDescent="0.2">
      <c r="B12" s="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9"/>
      <c r="P12" s="1"/>
      <c r="Q12" s="1"/>
      <c r="R12" s="1"/>
      <c r="S12" s="1"/>
      <c r="T12" s="9"/>
      <c r="U12" s="1"/>
      <c r="V12" s="1"/>
      <c r="W12" s="1"/>
      <c r="X12" s="1"/>
      <c r="Y12" s="9"/>
      <c r="Z12" s="1"/>
      <c r="AA12" s="1"/>
      <c r="AB12" s="1"/>
      <c r="AC12" s="1"/>
      <c r="AD12" s="9"/>
    </row>
    <row r="13" spans="2:32" x14ac:dyDescent="0.2">
      <c r="B13" s="10" t="s">
        <v>115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2"/>
      <c r="Q13" s="12"/>
      <c r="R13" s="12"/>
      <c r="S13" s="12"/>
      <c r="T13" s="13"/>
      <c r="U13" s="12"/>
      <c r="V13" s="12"/>
      <c r="W13" s="12"/>
      <c r="X13" s="12"/>
      <c r="Y13" s="13"/>
      <c r="Z13" s="12"/>
      <c r="AA13" s="12"/>
      <c r="AB13" s="12"/>
      <c r="AC13" s="12"/>
      <c r="AD13" s="13"/>
    </row>
    <row r="14" spans="2:32" x14ac:dyDescent="0.2">
      <c r="B14" s="6" t="s">
        <v>116</v>
      </c>
      <c r="C14" s="302">
        <f ca="1">'2 Investit- und Personalplanung'!$H$39/12</f>
        <v>0</v>
      </c>
      <c r="D14" s="302">
        <f ca="1">'2 Investit- und Personalplanung'!$H$39/12</f>
        <v>0</v>
      </c>
      <c r="E14" s="302">
        <f ca="1">'2 Investit- und Personalplanung'!$H$39/12</f>
        <v>0</v>
      </c>
      <c r="F14" s="302">
        <f ca="1">'2 Investit- und Personalplanung'!$H$39/12</f>
        <v>0</v>
      </c>
      <c r="G14" s="302">
        <f ca="1">'2 Investit- und Personalplanung'!$H$39/12</f>
        <v>0</v>
      </c>
      <c r="H14" s="302">
        <f ca="1">'2 Investit- und Personalplanung'!$H$39/12</f>
        <v>0</v>
      </c>
      <c r="I14" s="302">
        <f ca="1">'2 Investit- und Personalplanung'!$H$39/12</f>
        <v>0</v>
      </c>
      <c r="J14" s="302">
        <f ca="1">'2 Investit- und Personalplanung'!$H$39/12</f>
        <v>0</v>
      </c>
      <c r="K14" s="302">
        <f ca="1">'2 Investit- und Personalplanung'!$H$39/12</f>
        <v>0</v>
      </c>
      <c r="L14" s="302">
        <f ca="1">'2 Investit- und Personalplanung'!$H$39/12</f>
        <v>0</v>
      </c>
      <c r="M14" s="302">
        <f ca="1">'2 Investit- und Personalplanung'!$H$39/12</f>
        <v>0</v>
      </c>
      <c r="N14" s="303">
        <f ca="1">'2 Investit- und Personalplanung'!$H$39/12</f>
        <v>0</v>
      </c>
      <c r="O14" s="304">
        <f t="shared" ref="O14:O22" ca="1" si="6">SUM(C14:N14)</f>
        <v>0</v>
      </c>
      <c r="P14" s="302">
        <f>'2 Investit- und Personalplanung'!$J$39/4</f>
        <v>36300</v>
      </c>
      <c r="Q14" s="302">
        <f>'2 Investit- und Personalplanung'!$J$39/4</f>
        <v>36300</v>
      </c>
      <c r="R14" s="302">
        <f>'2 Investit- und Personalplanung'!$J$39/4</f>
        <v>36300</v>
      </c>
      <c r="S14" s="302">
        <f>'2 Investit- und Personalplanung'!$J$39/4</f>
        <v>36300</v>
      </c>
      <c r="T14" s="304">
        <f t="shared" ref="T14:T22" si="7">SUM(P14:S14)</f>
        <v>145200</v>
      </c>
      <c r="U14" s="302">
        <f>'2 Investit- und Personalplanung'!$L$39/4</f>
        <v>49731</v>
      </c>
      <c r="V14" s="302">
        <f>'2 Investit- und Personalplanung'!$L$39/4</f>
        <v>49731</v>
      </c>
      <c r="W14" s="302">
        <f>'2 Investit- und Personalplanung'!$L$39/4</f>
        <v>49731</v>
      </c>
      <c r="X14" s="302">
        <f>'2 Investit- und Personalplanung'!$L$39/4</f>
        <v>49731</v>
      </c>
      <c r="Y14" s="304">
        <f t="shared" ref="Y14:Y22" si="8">SUM(U14:X14)</f>
        <v>198924</v>
      </c>
      <c r="Z14" s="302">
        <f>'2 Investit- und Personalplanung'!$N$39/4</f>
        <v>59483.6</v>
      </c>
      <c r="AA14" s="302">
        <f>'2 Investit- und Personalplanung'!$N$39/4</f>
        <v>59483.6</v>
      </c>
      <c r="AB14" s="302">
        <f>'2 Investit- und Personalplanung'!$N$39/4</f>
        <v>59483.6</v>
      </c>
      <c r="AC14" s="302">
        <f>'2 Investit- und Personalplanung'!$N$39/4</f>
        <v>59483.6</v>
      </c>
      <c r="AD14" s="304">
        <f t="shared" ref="AD14:AD22" si="9">SUM(Z14:AC14)</f>
        <v>237934.4</v>
      </c>
    </row>
    <row r="15" spans="2:32" x14ac:dyDescent="0.2">
      <c r="B15" s="6" t="s">
        <v>117</v>
      </c>
      <c r="C15" s="302">
        <v>0</v>
      </c>
      <c r="D15" s="302">
        <v>0</v>
      </c>
      <c r="E15" s="302">
        <f>'1 Produkt- und Absatzplanung '!E33</f>
        <v>102</v>
      </c>
      <c r="F15" s="302">
        <f>'1 Produkt- und Absatzplanung '!F33</f>
        <v>102</v>
      </c>
      <c r="G15" s="302">
        <f>'1 Produkt- und Absatzplanung '!G33</f>
        <v>102</v>
      </c>
      <c r="H15" s="302">
        <f>'1 Produkt- und Absatzplanung '!H33</f>
        <v>102</v>
      </c>
      <c r="I15" s="302">
        <f>'1 Produkt- und Absatzplanung '!I33</f>
        <v>102</v>
      </c>
      <c r="J15" s="302">
        <f>'1 Produkt- und Absatzplanung '!J33</f>
        <v>102</v>
      </c>
      <c r="K15" s="302">
        <f>'1 Produkt- und Absatzplanung '!K33</f>
        <v>102</v>
      </c>
      <c r="L15" s="302">
        <f>'1 Produkt- und Absatzplanung '!L33</f>
        <v>102</v>
      </c>
      <c r="M15" s="302">
        <f>'1 Produkt- und Absatzplanung '!M33</f>
        <v>102</v>
      </c>
      <c r="N15" s="303">
        <f>'1 Produkt- und Absatzplanung '!N33</f>
        <v>102</v>
      </c>
      <c r="O15" s="304">
        <f t="shared" si="6"/>
        <v>1020</v>
      </c>
      <c r="P15" s="302">
        <f>'1 Produkt- und Absatzplanung '!P33</f>
        <v>408</v>
      </c>
      <c r="Q15" s="302">
        <f>'1 Produkt- und Absatzplanung '!Q33</f>
        <v>612</v>
      </c>
      <c r="R15" s="302">
        <f>'1 Produkt- und Absatzplanung '!R33</f>
        <v>1122</v>
      </c>
      <c r="S15" s="302">
        <f>'1 Produkt- und Absatzplanung '!S33</f>
        <v>1479</v>
      </c>
      <c r="T15" s="304">
        <f t="shared" si="7"/>
        <v>3621</v>
      </c>
      <c r="U15" s="302">
        <f>'1 Produkt- und Absatzplanung '!U33</f>
        <v>4029</v>
      </c>
      <c r="V15" s="302">
        <f>'1 Produkt- und Absatzplanung '!V33</f>
        <v>4437</v>
      </c>
      <c r="W15" s="302">
        <f>'1 Produkt- und Absatzplanung '!W33</f>
        <v>5202</v>
      </c>
      <c r="X15" s="302">
        <f>'1 Produkt- und Absatzplanung '!X33</f>
        <v>5814</v>
      </c>
      <c r="Y15" s="304">
        <f t="shared" si="8"/>
        <v>19482</v>
      </c>
      <c r="Z15" s="302">
        <f>'1 Produkt- und Absatzplanung '!Z33</f>
        <v>19686</v>
      </c>
      <c r="AA15" s="302">
        <f>'1 Produkt- und Absatzplanung '!AA33</f>
        <v>19890</v>
      </c>
      <c r="AB15" s="302">
        <f>'1 Produkt- und Absatzplanung '!AB33</f>
        <v>20808</v>
      </c>
      <c r="AC15" s="302">
        <f>'1 Produkt- und Absatzplanung '!AC33</f>
        <v>21318</v>
      </c>
      <c r="AD15" s="304">
        <f t="shared" si="9"/>
        <v>81702</v>
      </c>
    </row>
    <row r="16" spans="2:32" x14ac:dyDescent="0.2">
      <c r="B16" s="6" t="s">
        <v>118</v>
      </c>
      <c r="C16" s="302">
        <f>SUM(C17:C18)</f>
        <v>138.88888888888889</v>
      </c>
      <c r="D16" s="302">
        <f t="shared" ref="D16:P16" si="10">SUM(D17:D18)</f>
        <v>138.88888888888889</v>
      </c>
      <c r="E16" s="302">
        <f t="shared" si="10"/>
        <v>1650.1888888888889</v>
      </c>
      <c r="F16" s="302">
        <f t="shared" si="10"/>
        <v>1650.1888888888889</v>
      </c>
      <c r="G16" s="302">
        <f t="shared" si="10"/>
        <v>1650.1888888888889</v>
      </c>
      <c r="H16" s="302">
        <f t="shared" si="10"/>
        <v>1650.1888888888889</v>
      </c>
      <c r="I16" s="302">
        <f t="shared" si="10"/>
        <v>1650.1888888888889</v>
      </c>
      <c r="J16" s="302">
        <f t="shared" si="10"/>
        <v>1650.1888888888889</v>
      </c>
      <c r="K16" s="302">
        <f t="shared" si="10"/>
        <v>1650.1888888888889</v>
      </c>
      <c r="L16" s="302">
        <f t="shared" si="10"/>
        <v>1650.1888888888889</v>
      </c>
      <c r="M16" s="302">
        <f t="shared" si="10"/>
        <v>1650.1888888888889</v>
      </c>
      <c r="N16" s="303">
        <f t="shared" si="10"/>
        <v>1650.1888888888889</v>
      </c>
      <c r="O16" s="304">
        <f t="shared" si="6"/>
        <v>16779.666666666672</v>
      </c>
      <c r="P16" s="302">
        <f t="shared" si="10"/>
        <v>7286.6666666666679</v>
      </c>
      <c r="Q16" s="302">
        <f t="shared" ref="Q16" si="11">SUM(Q17:Q18)</f>
        <v>8909.5833333333339</v>
      </c>
      <c r="R16" s="302">
        <f t="shared" ref="R16" si="12">SUM(R17:R18)</f>
        <v>12987.500000000002</v>
      </c>
      <c r="S16" s="302">
        <f t="shared" ref="S16:U16" si="13">SUM(S17:S18)</f>
        <v>15837.91666666667</v>
      </c>
      <c r="T16" s="304">
        <f t="shared" si="7"/>
        <v>45021.666666666672</v>
      </c>
      <c r="U16" s="302">
        <f t="shared" si="13"/>
        <v>18816.666666666668</v>
      </c>
      <c r="V16" s="302">
        <f t="shared" ref="V16" si="14">SUM(V17:V18)</f>
        <v>21908.333333333336</v>
      </c>
      <c r="W16" s="302">
        <f t="shared" ref="W16" si="15">SUM(W17:W18)</f>
        <v>27850.416666666668</v>
      </c>
      <c r="X16" s="302">
        <f t="shared" ref="X16:Z16" si="16">SUM(X17:X18)</f>
        <v>32565.000000000004</v>
      </c>
      <c r="Y16" s="304">
        <f t="shared" si="8"/>
        <v>101140.41666666667</v>
      </c>
      <c r="Z16" s="302">
        <f t="shared" si="16"/>
        <v>32104.583333333339</v>
      </c>
      <c r="AA16" s="302">
        <f t="shared" ref="AA16" si="17">SUM(AA17:AA18)</f>
        <v>33881.666666666672</v>
      </c>
      <c r="AB16" s="302">
        <f t="shared" ref="AB16" si="18">SUM(AB17:AB18)</f>
        <v>41051.250000000007</v>
      </c>
      <c r="AC16" s="302">
        <f t="shared" ref="AC16" si="19">SUM(AC17:AC18)</f>
        <v>44820.833333333343</v>
      </c>
      <c r="AD16" s="304">
        <f t="shared" si="9"/>
        <v>151858.33333333337</v>
      </c>
    </row>
    <row r="17" spans="2:30" outlineLevel="1" x14ac:dyDescent="0.2">
      <c r="B17" s="6" t="s">
        <v>284</v>
      </c>
      <c r="C17" s="302">
        <f>'2 Investit- und Personalplanung'!$C$19/36</f>
        <v>138.88888888888889</v>
      </c>
      <c r="D17" s="302">
        <f>'2 Investit- und Personalplanung'!$C$19/36</f>
        <v>138.88888888888889</v>
      </c>
      <c r="E17" s="302">
        <f>('2 Investit- und Personalplanung'!$C$19/36)+678</f>
        <v>816.88888888888891</v>
      </c>
      <c r="F17" s="302">
        <f>('2 Investit- und Personalplanung'!$C$19/36)+678</f>
        <v>816.88888888888891</v>
      </c>
      <c r="G17" s="302">
        <f>('2 Investit- und Personalplanung'!$C$19/36)+678</f>
        <v>816.88888888888891</v>
      </c>
      <c r="H17" s="302">
        <f>('2 Investit- und Personalplanung'!$C$19/36)+678</f>
        <v>816.88888888888891</v>
      </c>
      <c r="I17" s="302">
        <f>('2 Investit- und Personalplanung'!$C$19/36)+678</f>
        <v>816.88888888888891</v>
      </c>
      <c r="J17" s="302">
        <f>('2 Investit- und Personalplanung'!$C$19/36)+678</f>
        <v>816.88888888888891</v>
      </c>
      <c r="K17" s="302">
        <f>('2 Investit- und Personalplanung'!$C$19/36)+678</f>
        <v>816.88888888888891</v>
      </c>
      <c r="L17" s="302">
        <f>('2 Investit- und Personalplanung'!$C$19/36)+678</f>
        <v>816.88888888888891</v>
      </c>
      <c r="M17" s="302">
        <f>('2 Investit- und Personalplanung'!$C$19/36)+678</f>
        <v>816.88888888888891</v>
      </c>
      <c r="N17" s="303">
        <f>('2 Investit- und Personalplanung'!$C$19/36)+678</f>
        <v>816.88888888888891</v>
      </c>
      <c r="O17" s="304">
        <f>SUM('3 GuV - Cashflow'!C17:N17)</f>
        <v>8446.6666666666661</v>
      </c>
      <c r="P17" s="302">
        <f>(('2 Investit- und Personalplanung'!$C$19/36*3)+($E$43/36)*3)+($P$43/36*3)</f>
        <v>5203.3333333333339</v>
      </c>
      <c r="Q17" s="302">
        <f>(('2 Investit- und Personalplanung'!$C$19/36*3)+($E$43/36)*3)+($P$43/36*3)+($Q$43/36*3)</f>
        <v>6826.25</v>
      </c>
      <c r="R17" s="302">
        <f>(('2 Investit- und Personalplanung'!$C$19/36*3)+($E$43/36)*3)+($P$43/36*3)+($Q$43/36*3)+($R$43/36*3)</f>
        <v>10904.166666666668</v>
      </c>
      <c r="S17" s="302">
        <f>(('2 Investit- und Personalplanung'!$C$19/36*3)+($E$43/36)*3)+($P$43/36*3)+($Q$43/36*3)+($R$43/36*3)+($S$43/36*3)</f>
        <v>13754.583333333336</v>
      </c>
      <c r="T17" s="304">
        <f>SUM(P17:S17)</f>
        <v>36688.333333333336</v>
      </c>
      <c r="U17" s="302">
        <f>(('2 Investit- und Personalplanung'!$C$19/36*3)+($E$43/36)*3)+($P$43/36*3)+($Q$43/36*3)+($R$43/36*3)+($S$43/36*3)+($U$43/36*3)</f>
        <v>16733.333333333336</v>
      </c>
      <c r="V17" s="302">
        <f>(('2 Investit- und Personalplanung'!$C$19/36*3)+($E$43/36)*3)+($P$43/36*3)+($Q$43/36*3)+($R$43/36*3)+($S$43/36*3)+($U$43/36*3)+($V$43/36*3)</f>
        <v>19825.000000000004</v>
      </c>
      <c r="W17" s="302">
        <f>(('2 Investit- und Personalplanung'!$C$19/36*3)+($E$43/36)*3)+($P$43/36*3)+($Q$43/36*3)+($R$43/36*3)+($S$43/36*3)+($U$43/36*3)+($V$43/36*3)+($W$43/36*3)</f>
        <v>25767.083333333336</v>
      </c>
      <c r="X17" s="302">
        <f>(('2 Investit- und Personalplanung'!$C$19/36*3)+($E$43/36)*3)+($P$43/36*3)+($Q$43/36*3)+($R$43/36*3)+($S$43/36*3)+($U$43/36*3)+($V$43/36*3)+($W$43/36*3)+($X$43/36*3)</f>
        <v>30481.666666666672</v>
      </c>
      <c r="Y17" s="304">
        <f>SUM(U17:X17)</f>
        <v>92807.083333333343</v>
      </c>
      <c r="Z17" s="302">
        <f>(('2 Investit- und Personalplanung'!$C$19/36*3)+($E$43/36)*3)+($P$43/36*3)+($Q$43/36*3)+($R$43/36*3)+($S$43/36*3)+($U$43/36*3)+($V$43/36*3)+($W$43/36*3)+($X$43/36*3)+($Z$43/36*3)</f>
        <v>32104.583333333339</v>
      </c>
      <c r="AA17" s="302">
        <f>(('2 Investit- und Personalplanung'!$C$19/36*3)+($E$43/36)*3)+($P$43/36*3)+($Q$43/36*3)+($R$43/36*3)+($S$43/36*3)+($U$43/36*3)+($V$43/36*3)+($W$43/36*3)+($X$43/36*3)+($Z$43/36*3)+($AA$43/36*3)</f>
        <v>33881.666666666672</v>
      </c>
      <c r="AB17" s="302">
        <f>(('2 Investit- und Personalplanung'!$C$19/36*3)+($E$43/36)*3)+($P$43/36*3)+($Q$43/36*3)+($R$43/36*3)+($S$43/36*3)+($U$43/36*3)+($V$43/36*3)+($W$43/36*3)+($X$43/36*3)+($Z$43/36*3)+($AA$43/36*3)+($AB$43/36*3)</f>
        <v>41051.250000000007</v>
      </c>
      <c r="AC17" s="302">
        <f>(('2 Investit- und Personalplanung'!$C$19/36*3)+($E$43/36)*3)+($P$43/36*3)+($Q$43/36*3)+($R$43/36*3)+($S$43/36*3)+($U$43/36*3)+($V$43/36*3)+($W$43/36*3)+($X$43/36*3)+($Z$43/36*3)+($AA$43/36*3)+($AB$43/36*3)+($AC$43/36*3)</f>
        <v>44820.833333333343</v>
      </c>
      <c r="AD17" s="304">
        <f>SUM(Z17:AC17)</f>
        <v>151858.33333333337</v>
      </c>
    </row>
    <row r="18" spans="2:30" outlineLevel="1" x14ac:dyDescent="0.2">
      <c r="B18" s="6" t="s">
        <v>285</v>
      </c>
      <c r="C18" s="302">
        <v>0</v>
      </c>
      <c r="D18" s="302">
        <v>0</v>
      </c>
      <c r="E18" s="302">
        <f>833.3</f>
        <v>833.3</v>
      </c>
      <c r="F18" s="302">
        <f t="shared" ref="F18:N18" si="20">833.3</f>
        <v>833.3</v>
      </c>
      <c r="G18" s="302">
        <f t="shared" si="20"/>
        <v>833.3</v>
      </c>
      <c r="H18" s="302">
        <f t="shared" si="20"/>
        <v>833.3</v>
      </c>
      <c r="I18" s="302">
        <f t="shared" si="20"/>
        <v>833.3</v>
      </c>
      <c r="J18" s="302">
        <f t="shared" si="20"/>
        <v>833.3</v>
      </c>
      <c r="K18" s="302">
        <f t="shared" si="20"/>
        <v>833.3</v>
      </c>
      <c r="L18" s="302">
        <f t="shared" si="20"/>
        <v>833.3</v>
      </c>
      <c r="M18" s="302">
        <f t="shared" si="20"/>
        <v>833.3</v>
      </c>
      <c r="N18" s="303">
        <f t="shared" si="20"/>
        <v>833.3</v>
      </c>
      <c r="O18" s="304">
        <f>SUM('3 GuV - Cashflow'!C18:N18)</f>
        <v>8333</v>
      </c>
      <c r="P18" s="302">
        <f>('2 Investit- und Personalplanung'!$C$18/36)*3</f>
        <v>2083.3333333333335</v>
      </c>
      <c r="Q18" s="302">
        <f>('2 Investit- und Personalplanung'!$C$18/36)*3</f>
        <v>2083.3333333333335</v>
      </c>
      <c r="R18" s="302">
        <f>('2 Investit- und Personalplanung'!$C$18/36)*3</f>
        <v>2083.3333333333335</v>
      </c>
      <c r="S18" s="302">
        <f>('2 Investit- und Personalplanung'!$C$18/36)*3</f>
        <v>2083.3333333333335</v>
      </c>
      <c r="T18" s="304">
        <f>SUM(P18:S18)</f>
        <v>8333.3333333333339</v>
      </c>
      <c r="U18" s="302">
        <f>('2 Investit- und Personalplanung'!$C$18/36)*3</f>
        <v>2083.3333333333335</v>
      </c>
      <c r="V18" s="302">
        <f>('2 Investit- und Personalplanung'!$C$18/36)*3</f>
        <v>2083.3333333333335</v>
      </c>
      <c r="W18" s="302">
        <f>('2 Investit- und Personalplanung'!$C$18/36)*3</f>
        <v>2083.3333333333335</v>
      </c>
      <c r="X18" s="302">
        <f>('2 Investit- und Personalplanung'!$C$18/36)*3</f>
        <v>2083.3333333333335</v>
      </c>
      <c r="Y18" s="304">
        <f>SUM(U18:X18)</f>
        <v>8333.3333333333339</v>
      </c>
      <c r="Z18" s="302">
        <v>0</v>
      </c>
      <c r="AA18" s="302">
        <v>0</v>
      </c>
      <c r="AB18" s="302">
        <v>0</v>
      </c>
      <c r="AC18" s="302">
        <v>0</v>
      </c>
      <c r="AD18" s="304">
        <f>SUM(Z18:AC18)</f>
        <v>0</v>
      </c>
    </row>
    <row r="19" spans="2:30" x14ac:dyDescent="0.2">
      <c r="B19" s="6" t="s">
        <v>119</v>
      </c>
      <c r="C19" s="302">
        <f>'2 Investit- und Personalplanung'!$C$39</f>
        <v>150</v>
      </c>
      <c r="D19" s="302">
        <f>'2 Investit- und Personalplanung'!$C$39</f>
        <v>150</v>
      </c>
      <c r="E19" s="302">
        <f>'2 Investit- und Personalplanung'!$C$39</f>
        <v>150</v>
      </c>
      <c r="F19" s="302">
        <f>'2 Investit- und Personalplanung'!$C$39</f>
        <v>150</v>
      </c>
      <c r="G19" s="302">
        <f>'2 Investit- und Personalplanung'!$C$39</f>
        <v>150</v>
      </c>
      <c r="H19" s="302">
        <f>'2 Investit- und Personalplanung'!$C$39</f>
        <v>150</v>
      </c>
      <c r="I19" s="302">
        <f>'2 Investit- und Personalplanung'!$C$39</f>
        <v>150</v>
      </c>
      <c r="J19" s="302">
        <f>'2 Investit- und Personalplanung'!$C$39</f>
        <v>150</v>
      </c>
      <c r="K19" s="302">
        <f>'2 Investit- und Personalplanung'!$C$39</f>
        <v>150</v>
      </c>
      <c r="L19" s="302">
        <f>'2 Investit- und Personalplanung'!$C$39</f>
        <v>150</v>
      </c>
      <c r="M19" s="302">
        <f>'2 Investit- und Personalplanung'!$C$39</f>
        <v>150</v>
      </c>
      <c r="N19" s="303">
        <f>'2 Investit- und Personalplanung'!$C$39</f>
        <v>150</v>
      </c>
      <c r="O19" s="304">
        <f t="shared" si="6"/>
        <v>1800</v>
      </c>
      <c r="P19" s="302">
        <f>'2 Investit- und Personalplanung'!$C$39*3</f>
        <v>450</v>
      </c>
      <c r="Q19" s="302">
        <f>'2 Investit- und Personalplanung'!$C$39*3</f>
        <v>450</v>
      </c>
      <c r="R19" s="302">
        <f>'2 Investit- und Personalplanung'!$C$39*3</f>
        <v>450</v>
      </c>
      <c r="S19" s="302">
        <f>'2 Investit- und Personalplanung'!$C$39*3</f>
        <v>450</v>
      </c>
      <c r="T19" s="304">
        <f t="shared" si="7"/>
        <v>1800</v>
      </c>
      <c r="U19" s="302">
        <f>'2 Investit- und Personalplanung'!$C$39*3</f>
        <v>450</v>
      </c>
      <c r="V19" s="302">
        <f>'2 Investit- und Personalplanung'!$C$39*3</f>
        <v>450</v>
      </c>
      <c r="W19" s="302">
        <f>'2 Investit- und Personalplanung'!$C$39*3</f>
        <v>450</v>
      </c>
      <c r="X19" s="302">
        <f>'2 Investit- und Personalplanung'!$C$39*3</f>
        <v>450</v>
      </c>
      <c r="Y19" s="304">
        <f t="shared" si="8"/>
        <v>1800</v>
      </c>
      <c r="Z19" s="302">
        <f>'2 Investit- und Personalplanung'!$C$39*3</f>
        <v>450</v>
      </c>
      <c r="AA19" s="302">
        <f>'2 Investit- und Personalplanung'!$C$39*3</f>
        <v>450</v>
      </c>
      <c r="AB19" s="302">
        <f>'2 Investit- und Personalplanung'!$C$39*3</f>
        <v>450</v>
      </c>
      <c r="AC19" s="302">
        <f>'2 Investit- und Personalplanung'!$C$39*3</f>
        <v>450</v>
      </c>
      <c r="AD19" s="304">
        <f t="shared" si="9"/>
        <v>1800</v>
      </c>
    </row>
    <row r="20" spans="2:30" x14ac:dyDescent="0.2">
      <c r="B20" s="6" t="s">
        <v>286</v>
      </c>
      <c r="C20" s="302">
        <v>0</v>
      </c>
      <c r="D20" s="302">
        <v>0</v>
      </c>
      <c r="E20" s="302">
        <f>E43*0.1</f>
        <v>2034</v>
      </c>
      <c r="F20" s="302">
        <v>0</v>
      </c>
      <c r="G20" s="302">
        <v>0</v>
      </c>
      <c r="H20" s="302">
        <v>0</v>
      </c>
      <c r="I20" s="302">
        <v>0</v>
      </c>
      <c r="J20" s="302">
        <v>0</v>
      </c>
      <c r="K20" s="302">
        <v>0</v>
      </c>
      <c r="L20" s="302">
        <v>0</v>
      </c>
      <c r="M20" s="302">
        <v>0</v>
      </c>
      <c r="N20" s="303">
        <v>0</v>
      </c>
      <c r="O20" s="304">
        <f t="shared" si="6"/>
        <v>2034</v>
      </c>
      <c r="P20" s="302">
        <f>(P43*0.1)</f>
        <v>3710</v>
      </c>
      <c r="Q20" s="302">
        <f>(Q43*0.1)</f>
        <v>1947.5</v>
      </c>
      <c r="R20" s="302">
        <f>(R43*0.1)</f>
        <v>4893.5</v>
      </c>
      <c r="S20" s="302">
        <f>(S43*0.1)</f>
        <v>3420.5</v>
      </c>
      <c r="T20" s="304">
        <f>SUM(P20:S20)</f>
        <v>13971.5</v>
      </c>
      <c r="U20" s="302">
        <f>(U43*0.1)</f>
        <v>3574.5</v>
      </c>
      <c r="V20" s="302">
        <f t="shared" ref="V20:AC20" si="21">(V43*0.1)</f>
        <v>3710</v>
      </c>
      <c r="W20" s="302">
        <f t="shared" si="21"/>
        <v>7130.5</v>
      </c>
      <c r="X20" s="302">
        <f t="shared" si="21"/>
        <v>5657.5</v>
      </c>
      <c r="Y20" s="304">
        <f t="shared" si="8"/>
        <v>20072.5</v>
      </c>
      <c r="Z20" s="302">
        <f t="shared" si="21"/>
        <v>1947.5</v>
      </c>
      <c r="AA20" s="302">
        <f t="shared" si="21"/>
        <v>2132.5</v>
      </c>
      <c r="AB20" s="302">
        <f t="shared" si="21"/>
        <v>8603.5</v>
      </c>
      <c r="AC20" s="302">
        <f t="shared" si="21"/>
        <v>4523.5</v>
      </c>
      <c r="AD20" s="304">
        <f t="shared" si="9"/>
        <v>17207</v>
      </c>
    </row>
    <row r="21" spans="2:30" x14ac:dyDescent="0.2">
      <c r="B21" s="6" t="s">
        <v>114</v>
      </c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304">
        <f t="shared" si="6"/>
        <v>0</v>
      </c>
      <c r="P21" s="298"/>
      <c r="Q21" s="298"/>
      <c r="R21" s="298"/>
      <c r="S21" s="298"/>
      <c r="T21" s="304">
        <f>SUM(P21:S21)</f>
        <v>0</v>
      </c>
      <c r="U21" s="298"/>
      <c r="V21" s="298"/>
      <c r="W21" s="298"/>
      <c r="X21" s="298"/>
      <c r="Y21" s="304">
        <f t="shared" si="8"/>
        <v>0</v>
      </c>
      <c r="Z21" s="298"/>
      <c r="AA21" s="298"/>
      <c r="AB21" s="298"/>
      <c r="AC21" s="298"/>
      <c r="AD21" s="304">
        <f t="shared" si="9"/>
        <v>0</v>
      </c>
    </row>
    <row r="22" spans="2:30" x14ac:dyDescent="0.2">
      <c r="B22" s="6" t="s">
        <v>114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304">
        <f t="shared" si="6"/>
        <v>0</v>
      </c>
      <c r="P22" s="298"/>
      <c r="Q22" s="298"/>
      <c r="R22" s="298"/>
      <c r="S22" s="298"/>
      <c r="T22" s="304">
        <f t="shared" si="7"/>
        <v>0</v>
      </c>
      <c r="U22" s="298"/>
      <c r="V22" s="298"/>
      <c r="W22" s="298"/>
      <c r="X22" s="298"/>
      <c r="Y22" s="304">
        <f t="shared" si="8"/>
        <v>0</v>
      </c>
      <c r="Z22" s="298"/>
      <c r="AA22" s="298"/>
      <c r="AB22" s="298"/>
      <c r="AC22" s="298"/>
      <c r="AD22" s="304">
        <f t="shared" si="9"/>
        <v>0</v>
      </c>
    </row>
    <row r="23" spans="2:30" x14ac:dyDescent="0.2">
      <c r="B23" s="60" t="s">
        <v>120</v>
      </c>
      <c r="C23" s="305">
        <f ca="1">SUM(C14:C22)</f>
        <v>277.77777777777777</v>
      </c>
      <c r="D23" s="305">
        <f t="shared" ref="D23:P23" ca="1" si="22">SUM(D14:D22)</f>
        <v>277.77777777777777</v>
      </c>
      <c r="E23" s="305">
        <f t="shared" ca="1" si="22"/>
        <v>5436.3777777777777</v>
      </c>
      <c r="F23" s="305">
        <f t="shared" ca="1" si="22"/>
        <v>3402.3777777777777</v>
      </c>
      <c r="G23" s="305">
        <f t="shared" ca="1" si="22"/>
        <v>3402.3777777777777</v>
      </c>
      <c r="H23" s="305">
        <f t="shared" ca="1" si="22"/>
        <v>3402.3777777777777</v>
      </c>
      <c r="I23" s="305">
        <f t="shared" ca="1" si="22"/>
        <v>3402.3777777777777</v>
      </c>
      <c r="J23" s="305">
        <f t="shared" ca="1" si="22"/>
        <v>3402.3777777777777</v>
      </c>
      <c r="K23" s="305">
        <f t="shared" ca="1" si="22"/>
        <v>3402.3777777777777</v>
      </c>
      <c r="L23" s="305">
        <f t="shared" ca="1" si="22"/>
        <v>3402.3777777777777</v>
      </c>
      <c r="M23" s="305">
        <f t="shared" ca="1" si="22"/>
        <v>3402.3777777777777</v>
      </c>
      <c r="N23" s="305">
        <f t="shared" ca="1" si="22"/>
        <v>3402.3777777777777</v>
      </c>
      <c r="O23" s="306">
        <f ca="1">SUM(O14:O22)</f>
        <v>36613.333333333336</v>
      </c>
      <c r="P23" s="305">
        <f t="shared" si="22"/>
        <v>55441.333333333343</v>
      </c>
      <c r="Q23" s="305">
        <f t="shared" ref="Q23" si="23">SUM(Q14:Q22)</f>
        <v>57128.666666666672</v>
      </c>
      <c r="R23" s="305">
        <f t="shared" ref="R23" si="24">SUM(R14:R22)</f>
        <v>68740.5</v>
      </c>
      <c r="S23" s="305">
        <f t="shared" ref="S23:U23" si="25">SUM(S14:S22)</f>
        <v>73325.333333333328</v>
      </c>
      <c r="T23" s="306">
        <f>SUM(T14:T22)</f>
        <v>254635.83333333337</v>
      </c>
      <c r="U23" s="305">
        <f t="shared" si="25"/>
        <v>95417.833333333328</v>
      </c>
      <c r="V23" s="305">
        <f t="shared" ref="V23" si="26">SUM(V14:V22)</f>
        <v>102144.66666666667</v>
      </c>
      <c r="W23" s="305">
        <f t="shared" ref="W23" si="27">SUM(W14:W22)</f>
        <v>118214.33333333333</v>
      </c>
      <c r="X23" s="305">
        <f t="shared" ref="X23:Z23" si="28">SUM(X14:X22)</f>
        <v>126782.5</v>
      </c>
      <c r="Y23" s="308">
        <f>SUM(Y14:Y22)</f>
        <v>442559.33333333331</v>
      </c>
      <c r="Z23" s="305">
        <f t="shared" si="28"/>
        <v>145776.26666666669</v>
      </c>
      <c r="AA23" s="305">
        <f t="shared" ref="AA23" si="29">SUM(AA14:AA22)</f>
        <v>149719.43333333335</v>
      </c>
      <c r="AB23" s="305">
        <f t="shared" ref="AB23" si="30">SUM(AB14:AB22)</f>
        <v>171447.6</v>
      </c>
      <c r="AC23" s="305">
        <f t="shared" ref="AC23" si="31">SUM(AC14:AC22)</f>
        <v>175416.76666666669</v>
      </c>
      <c r="AD23" s="308">
        <f>SUM(AD14:AD22)</f>
        <v>642360.06666666677</v>
      </c>
    </row>
    <row r="24" spans="2:30" x14ac:dyDescent="0.2"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5"/>
      <c r="P24" s="2"/>
      <c r="Q24" s="2"/>
      <c r="R24" s="2"/>
      <c r="S24" s="2"/>
      <c r="T24" s="5"/>
      <c r="U24" s="2"/>
      <c r="V24" s="2"/>
      <c r="W24" s="2"/>
      <c r="X24" s="2"/>
      <c r="Y24" s="5"/>
      <c r="Z24" s="2"/>
      <c r="AA24" s="2"/>
      <c r="AB24" s="2"/>
      <c r="AC24" s="2"/>
      <c r="AD24" s="5"/>
    </row>
    <row r="25" spans="2:30" x14ac:dyDescent="0.2">
      <c r="B25" s="62" t="s">
        <v>121</v>
      </c>
      <c r="C25" s="309">
        <f t="shared" ref="C25:AD25" ca="1" si="32">C11-C23</f>
        <v>-277.77777777777777</v>
      </c>
      <c r="D25" s="309">
        <f t="shared" ca="1" si="32"/>
        <v>-277.77777777777777</v>
      </c>
      <c r="E25" s="309">
        <f t="shared" ca="1" si="32"/>
        <v>-5436.3777777777777</v>
      </c>
      <c r="F25" s="309">
        <f t="shared" ca="1" si="32"/>
        <v>-3402.3777777777777</v>
      </c>
      <c r="G25" s="309">
        <f t="shared" ca="1" si="32"/>
        <v>-3402.3777777777777</v>
      </c>
      <c r="H25" s="309">
        <f t="shared" ca="1" si="32"/>
        <v>-3402.3777777777777</v>
      </c>
      <c r="I25" s="309">
        <f t="shared" ca="1" si="32"/>
        <v>-3402.3777777777777</v>
      </c>
      <c r="J25" s="309">
        <f t="shared" ca="1" si="32"/>
        <v>-3402.3777777777777</v>
      </c>
      <c r="K25" s="309">
        <f t="shared" ca="1" si="32"/>
        <v>-3402.3777777777777</v>
      </c>
      <c r="L25" s="309">
        <f t="shared" ca="1" si="32"/>
        <v>-3402.3777777777777</v>
      </c>
      <c r="M25" s="309">
        <f t="shared" ca="1" si="32"/>
        <v>-3402.3777777777777</v>
      </c>
      <c r="N25" s="309">
        <f t="shared" ca="1" si="32"/>
        <v>-3402.3777777777777</v>
      </c>
      <c r="O25" s="310">
        <f t="shared" ca="1" si="32"/>
        <v>-36613.333333333336</v>
      </c>
      <c r="P25" s="309">
        <f t="shared" si="32"/>
        <v>-6699.333333333343</v>
      </c>
      <c r="Q25" s="309">
        <f t="shared" si="32"/>
        <v>-28910.666666666672</v>
      </c>
      <c r="R25" s="309">
        <f t="shared" si="32"/>
        <v>-492.5</v>
      </c>
      <c r="S25" s="309">
        <f t="shared" si="32"/>
        <v>-20974.333333333328</v>
      </c>
      <c r="T25" s="310">
        <f t="shared" si="32"/>
        <v>-57076.833333333372</v>
      </c>
      <c r="U25" s="311">
        <f t="shared" si="32"/>
        <v>-24546.833333333328</v>
      </c>
      <c r="V25" s="311">
        <f t="shared" si="32"/>
        <v>-26931.666666666672</v>
      </c>
      <c r="W25" s="311">
        <f t="shared" si="32"/>
        <v>4543.6666666666715</v>
      </c>
      <c r="X25" s="311">
        <f t="shared" si="32"/>
        <v>-18306.5</v>
      </c>
      <c r="Y25" s="312">
        <f t="shared" si="32"/>
        <v>-65241.333333333314</v>
      </c>
      <c r="Z25" s="311">
        <f t="shared" si="32"/>
        <v>7717.7333333333081</v>
      </c>
      <c r="AA25" s="311">
        <f t="shared" si="32"/>
        <v>7560.5666666666511</v>
      </c>
      <c r="AB25" s="311">
        <f t="shared" si="32"/>
        <v>72304.399999999994</v>
      </c>
      <c r="AC25" s="311">
        <f t="shared" si="32"/>
        <v>20845.233333333308</v>
      </c>
      <c r="AD25" s="312">
        <f t="shared" si="32"/>
        <v>108427.93333333323</v>
      </c>
    </row>
    <row r="26" spans="2:30" x14ac:dyDescent="0.2">
      <c r="B26" s="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/>
      <c r="P26" s="1"/>
      <c r="Q26" s="1"/>
      <c r="R26" s="1"/>
      <c r="S26" s="1"/>
      <c r="T26" s="9"/>
      <c r="U26" s="1"/>
      <c r="V26" s="1"/>
      <c r="W26" s="1"/>
      <c r="X26" s="1"/>
      <c r="Y26" s="9"/>
      <c r="Z26" s="1"/>
      <c r="AA26" s="1"/>
      <c r="AB26" s="1"/>
      <c r="AC26" s="1"/>
      <c r="AD26" s="9"/>
    </row>
    <row r="27" spans="2:30" x14ac:dyDescent="0.2">
      <c r="B27" s="13" t="s">
        <v>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13">
        <f t="shared" ref="O27:O31" si="33">SUM(C27:N27)</f>
        <v>0</v>
      </c>
      <c r="P27" s="17"/>
      <c r="Q27" s="17"/>
      <c r="R27" s="17"/>
      <c r="S27" s="17"/>
      <c r="T27" s="313">
        <f t="shared" ref="T27:T31" si="34">SUM(P27:S27)</f>
        <v>0</v>
      </c>
      <c r="U27" s="17"/>
      <c r="V27" s="17"/>
      <c r="W27" s="17"/>
      <c r="X27" s="17"/>
      <c r="Y27" s="313">
        <f t="shared" ref="Y27:Y31" si="35">SUM(U27:X27)</f>
        <v>0</v>
      </c>
      <c r="Z27" s="17"/>
      <c r="AA27" s="17"/>
      <c r="AB27" s="17"/>
      <c r="AC27" s="17"/>
      <c r="AD27" s="313">
        <f t="shared" ref="AD27:AD31" si="36">SUM(Z27:AC27)</f>
        <v>0</v>
      </c>
    </row>
    <row r="28" spans="2:30" x14ac:dyDescent="0.2">
      <c r="B28" s="6" t="s">
        <v>122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304">
        <f t="shared" si="33"/>
        <v>0</v>
      </c>
      <c r="P28" s="7"/>
      <c r="Q28" s="7"/>
      <c r="R28" s="7"/>
      <c r="S28" s="7"/>
      <c r="T28" s="304">
        <f t="shared" si="34"/>
        <v>0</v>
      </c>
      <c r="U28" s="7"/>
      <c r="V28" s="7"/>
      <c r="W28" s="7"/>
      <c r="X28" s="7"/>
      <c r="Y28" s="304">
        <f t="shared" si="35"/>
        <v>0</v>
      </c>
      <c r="Z28" s="7"/>
      <c r="AA28" s="7"/>
      <c r="AB28" s="7"/>
      <c r="AC28" s="7"/>
      <c r="AD28" s="304">
        <f t="shared" si="36"/>
        <v>0</v>
      </c>
    </row>
    <row r="29" spans="2:30" x14ac:dyDescent="0.2">
      <c r="B29" s="6" t="s">
        <v>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304">
        <f t="shared" si="33"/>
        <v>0</v>
      </c>
      <c r="P29" s="7"/>
      <c r="Q29" s="7"/>
      <c r="R29" s="7"/>
      <c r="S29" s="7"/>
      <c r="T29" s="304">
        <f t="shared" si="34"/>
        <v>0</v>
      </c>
      <c r="U29" s="7"/>
      <c r="V29" s="7"/>
      <c r="W29" s="7"/>
      <c r="X29" s="7"/>
      <c r="Y29" s="304">
        <f t="shared" si="35"/>
        <v>0</v>
      </c>
      <c r="Z29" s="7"/>
      <c r="AA29" s="7"/>
      <c r="AB29" s="7"/>
      <c r="AC29" s="7"/>
      <c r="AD29" s="304">
        <f t="shared" si="36"/>
        <v>0</v>
      </c>
    </row>
    <row r="30" spans="2:30" x14ac:dyDescent="0.2">
      <c r="B30" s="6" t="s">
        <v>114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304">
        <f t="shared" si="33"/>
        <v>0</v>
      </c>
      <c r="P30" s="7"/>
      <c r="Q30" s="7"/>
      <c r="R30" s="7"/>
      <c r="S30" s="7"/>
      <c r="T30" s="304">
        <f t="shared" si="34"/>
        <v>0</v>
      </c>
      <c r="U30" s="7"/>
      <c r="V30" s="7"/>
      <c r="W30" s="7"/>
      <c r="X30" s="7"/>
      <c r="Y30" s="304">
        <f t="shared" si="35"/>
        <v>0</v>
      </c>
      <c r="Z30" s="7"/>
      <c r="AA30" s="7"/>
      <c r="AB30" s="7"/>
      <c r="AC30" s="7"/>
      <c r="AD30" s="304">
        <f t="shared" si="36"/>
        <v>0</v>
      </c>
    </row>
    <row r="31" spans="2:30" x14ac:dyDescent="0.2">
      <c r="B31" s="6" t="s">
        <v>114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304">
        <f t="shared" si="33"/>
        <v>0</v>
      </c>
      <c r="P31" s="7"/>
      <c r="Q31" s="7"/>
      <c r="R31" s="7"/>
      <c r="S31" s="7"/>
      <c r="T31" s="304">
        <f t="shared" si="34"/>
        <v>0</v>
      </c>
      <c r="U31" s="7"/>
      <c r="V31" s="7"/>
      <c r="W31" s="7"/>
      <c r="X31" s="7"/>
      <c r="Y31" s="304">
        <f t="shared" si="35"/>
        <v>0</v>
      </c>
      <c r="Z31" s="7"/>
      <c r="AA31" s="7"/>
      <c r="AB31" s="7"/>
      <c r="AC31" s="7"/>
      <c r="AD31" s="304">
        <f t="shared" si="36"/>
        <v>0</v>
      </c>
    </row>
    <row r="32" spans="2:30" x14ac:dyDescent="0.2">
      <c r="B32" s="63" t="s">
        <v>5</v>
      </c>
      <c r="C32" s="309">
        <f ca="1">C25+C27-C28-C29</f>
        <v>-277.77777777777777</v>
      </c>
      <c r="D32" s="309">
        <f t="shared" ref="D32:Y32" ca="1" si="37">D25+D27-D28-D29</f>
        <v>-277.77777777777777</v>
      </c>
      <c r="E32" s="309">
        <f t="shared" ca="1" si="37"/>
        <v>-5436.3777777777777</v>
      </c>
      <c r="F32" s="309">
        <f t="shared" ca="1" si="37"/>
        <v>-3402.3777777777777</v>
      </c>
      <c r="G32" s="309">
        <f t="shared" ca="1" si="37"/>
        <v>-3402.3777777777777</v>
      </c>
      <c r="H32" s="309">
        <f t="shared" ca="1" si="37"/>
        <v>-3402.3777777777777</v>
      </c>
      <c r="I32" s="309">
        <f t="shared" ca="1" si="37"/>
        <v>-3402.3777777777777</v>
      </c>
      <c r="J32" s="309">
        <f t="shared" ca="1" si="37"/>
        <v>-3402.3777777777777</v>
      </c>
      <c r="K32" s="309">
        <f t="shared" ca="1" si="37"/>
        <v>-3402.3777777777777</v>
      </c>
      <c r="L32" s="309">
        <f t="shared" ca="1" si="37"/>
        <v>-3402.3777777777777</v>
      </c>
      <c r="M32" s="309">
        <f t="shared" ca="1" si="37"/>
        <v>-3402.3777777777777</v>
      </c>
      <c r="N32" s="309">
        <f t="shared" ca="1" si="37"/>
        <v>-3402.3777777777777</v>
      </c>
      <c r="O32" s="306">
        <f t="shared" ca="1" si="37"/>
        <v>-36613.333333333336</v>
      </c>
      <c r="P32" s="314">
        <f t="shared" si="37"/>
        <v>-6699.333333333343</v>
      </c>
      <c r="Q32" s="305">
        <f t="shared" si="37"/>
        <v>-28910.666666666672</v>
      </c>
      <c r="R32" s="305">
        <f t="shared" si="37"/>
        <v>-492.5</v>
      </c>
      <c r="S32" s="315">
        <f t="shared" si="37"/>
        <v>-20974.333333333328</v>
      </c>
      <c r="T32" s="306">
        <f t="shared" si="37"/>
        <v>-57076.833333333372</v>
      </c>
      <c r="U32" s="316">
        <f t="shared" si="37"/>
        <v>-24546.833333333328</v>
      </c>
      <c r="V32" s="307">
        <f t="shared" si="37"/>
        <v>-26931.666666666672</v>
      </c>
      <c r="W32" s="307">
        <f t="shared" si="37"/>
        <v>4543.6666666666715</v>
      </c>
      <c r="X32" s="317">
        <f t="shared" si="37"/>
        <v>-18306.5</v>
      </c>
      <c r="Y32" s="308">
        <f t="shared" si="37"/>
        <v>-65241.333333333314</v>
      </c>
      <c r="Z32" s="316">
        <f t="shared" ref="Z32:AD32" si="38">Z25+Z27-Z28-Z29</f>
        <v>7717.7333333333081</v>
      </c>
      <c r="AA32" s="307">
        <f t="shared" si="38"/>
        <v>7560.5666666666511</v>
      </c>
      <c r="AB32" s="307">
        <f t="shared" si="38"/>
        <v>72304.399999999994</v>
      </c>
      <c r="AC32" s="317">
        <f t="shared" si="38"/>
        <v>20845.233333333308</v>
      </c>
      <c r="AD32" s="308">
        <f t="shared" si="38"/>
        <v>108427.93333333323</v>
      </c>
    </row>
    <row r="33" spans="2:32" x14ac:dyDescent="0.2">
      <c r="B33" s="28" t="s">
        <v>123</v>
      </c>
      <c r="C33" s="34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29"/>
      <c r="P33" s="34"/>
      <c r="Q33" s="30"/>
      <c r="R33" s="30"/>
      <c r="S33" s="35"/>
      <c r="T33" s="29"/>
      <c r="U33" s="75"/>
      <c r="V33" s="76"/>
      <c r="W33" s="76"/>
      <c r="X33" s="19"/>
      <c r="Y33" s="19"/>
      <c r="Z33" s="75"/>
      <c r="AA33" s="76"/>
      <c r="AB33" s="76"/>
      <c r="AC33" s="19"/>
      <c r="AD33" s="19"/>
    </row>
    <row r="34" spans="2:32" x14ac:dyDescent="0.2">
      <c r="B34" s="61" t="s">
        <v>124</v>
      </c>
      <c r="C34" s="309">
        <f ca="1">C32-C33</f>
        <v>-277.77777777777777</v>
      </c>
      <c r="D34" s="309">
        <f t="shared" ref="D34:Y34" ca="1" si="39">D32-D33</f>
        <v>-277.77777777777777</v>
      </c>
      <c r="E34" s="309">
        <f t="shared" ca="1" si="39"/>
        <v>-5436.3777777777777</v>
      </c>
      <c r="F34" s="309">
        <f t="shared" ca="1" si="39"/>
        <v>-3402.3777777777777</v>
      </c>
      <c r="G34" s="309">
        <f t="shared" ca="1" si="39"/>
        <v>-3402.3777777777777</v>
      </c>
      <c r="H34" s="309">
        <f t="shared" ca="1" si="39"/>
        <v>-3402.3777777777777</v>
      </c>
      <c r="I34" s="309">
        <f t="shared" ca="1" si="39"/>
        <v>-3402.3777777777777</v>
      </c>
      <c r="J34" s="309">
        <f t="shared" ca="1" si="39"/>
        <v>-3402.3777777777777</v>
      </c>
      <c r="K34" s="309">
        <f t="shared" ca="1" si="39"/>
        <v>-3402.3777777777777</v>
      </c>
      <c r="L34" s="309">
        <f t="shared" ca="1" si="39"/>
        <v>-3402.3777777777777</v>
      </c>
      <c r="M34" s="309">
        <f t="shared" ca="1" si="39"/>
        <v>-3402.3777777777777</v>
      </c>
      <c r="N34" s="309">
        <f t="shared" ca="1" si="39"/>
        <v>-3402.3777777777777</v>
      </c>
      <c r="O34" s="306">
        <f t="shared" ca="1" si="39"/>
        <v>-36613.333333333336</v>
      </c>
      <c r="P34" s="314">
        <f t="shared" si="39"/>
        <v>-6699.333333333343</v>
      </c>
      <c r="Q34" s="305">
        <f t="shared" si="39"/>
        <v>-28910.666666666672</v>
      </c>
      <c r="R34" s="305">
        <f t="shared" si="39"/>
        <v>-492.5</v>
      </c>
      <c r="S34" s="315">
        <f t="shared" si="39"/>
        <v>-20974.333333333328</v>
      </c>
      <c r="T34" s="306">
        <f t="shared" si="39"/>
        <v>-57076.833333333372</v>
      </c>
      <c r="U34" s="316">
        <f t="shared" si="39"/>
        <v>-24546.833333333328</v>
      </c>
      <c r="V34" s="307">
        <f t="shared" si="39"/>
        <v>-26931.666666666672</v>
      </c>
      <c r="W34" s="307">
        <f t="shared" si="39"/>
        <v>4543.6666666666715</v>
      </c>
      <c r="X34" s="317">
        <f t="shared" si="39"/>
        <v>-18306.5</v>
      </c>
      <c r="Y34" s="317">
        <f t="shared" si="39"/>
        <v>-65241.333333333314</v>
      </c>
      <c r="Z34" s="316">
        <f t="shared" ref="Z34:AD34" si="40">Z32-Z33</f>
        <v>7717.7333333333081</v>
      </c>
      <c r="AA34" s="307">
        <f t="shared" si="40"/>
        <v>7560.5666666666511</v>
      </c>
      <c r="AB34" s="307">
        <f t="shared" si="40"/>
        <v>72304.399999999994</v>
      </c>
      <c r="AC34" s="317">
        <f t="shared" si="40"/>
        <v>20845.233333333308</v>
      </c>
      <c r="AD34" s="317">
        <f t="shared" si="40"/>
        <v>108427.93333333323</v>
      </c>
    </row>
    <row r="35" spans="2:32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1"/>
      <c r="T35" s="1"/>
    </row>
    <row r="37" spans="2:32" ht="30" x14ac:dyDescent="0.3">
      <c r="B37" s="98" t="s">
        <v>125</v>
      </c>
    </row>
    <row r="38" spans="2:32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2:32" x14ac:dyDescent="0.2">
      <c r="B39" s="3"/>
      <c r="C39" s="46" t="s">
        <v>88</v>
      </c>
      <c r="D39" s="46" t="s">
        <v>89</v>
      </c>
      <c r="E39" s="46" t="s">
        <v>90</v>
      </c>
      <c r="F39" s="46" t="s">
        <v>91</v>
      </c>
      <c r="G39" s="46" t="s">
        <v>92</v>
      </c>
      <c r="H39" s="46" t="s">
        <v>93</v>
      </c>
      <c r="I39" s="46" t="s">
        <v>94</v>
      </c>
      <c r="J39" s="46" t="s">
        <v>95</v>
      </c>
      <c r="K39" s="46" t="s">
        <v>96</v>
      </c>
      <c r="L39" s="46" t="s">
        <v>97</v>
      </c>
      <c r="M39" s="46" t="s">
        <v>98</v>
      </c>
      <c r="N39" s="46" t="s">
        <v>99</v>
      </c>
      <c r="O39" s="27" t="s">
        <v>100</v>
      </c>
      <c r="P39" s="46" t="s">
        <v>101</v>
      </c>
      <c r="Q39" s="46" t="s">
        <v>102</v>
      </c>
      <c r="R39" s="46" t="s">
        <v>103</v>
      </c>
      <c r="S39" s="46" t="s">
        <v>104</v>
      </c>
      <c r="T39" s="27" t="s">
        <v>105</v>
      </c>
      <c r="U39" s="47" t="s">
        <v>106</v>
      </c>
      <c r="V39" s="47" t="s">
        <v>107</v>
      </c>
      <c r="W39" s="47" t="s">
        <v>108</v>
      </c>
      <c r="X39" s="47" t="s">
        <v>109</v>
      </c>
      <c r="Y39" s="4" t="s">
        <v>110</v>
      </c>
      <c r="Z39" s="47" t="s">
        <v>249</v>
      </c>
      <c r="AA39" s="47" t="s">
        <v>250</v>
      </c>
      <c r="AB39" s="47" t="s">
        <v>251</v>
      </c>
      <c r="AC39" s="47" t="s">
        <v>252</v>
      </c>
      <c r="AD39" s="4" t="s">
        <v>248</v>
      </c>
    </row>
    <row r="40" spans="2:32" x14ac:dyDescent="0.2">
      <c r="B40" s="6" t="s">
        <v>5</v>
      </c>
      <c r="C40" s="318">
        <f ca="1">C32</f>
        <v>-277.77777777777777</v>
      </c>
      <c r="D40" s="319">
        <f t="shared" ref="D40:X40" ca="1" si="41">D32</f>
        <v>-277.77777777777777</v>
      </c>
      <c r="E40" s="319">
        <f t="shared" ca="1" si="41"/>
        <v>-5436.3777777777777</v>
      </c>
      <c r="F40" s="319">
        <f t="shared" ca="1" si="41"/>
        <v>-3402.3777777777777</v>
      </c>
      <c r="G40" s="319">
        <f t="shared" ca="1" si="41"/>
        <v>-3402.3777777777777</v>
      </c>
      <c r="H40" s="319">
        <f t="shared" ca="1" si="41"/>
        <v>-3402.3777777777777</v>
      </c>
      <c r="I40" s="319">
        <f t="shared" ca="1" si="41"/>
        <v>-3402.3777777777777</v>
      </c>
      <c r="J40" s="319">
        <f t="shared" ca="1" si="41"/>
        <v>-3402.3777777777777</v>
      </c>
      <c r="K40" s="319">
        <f t="shared" ca="1" si="41"/>
        <v>-3402.3777777777777</v>
      </c>
      <c r="L40" s="319">
        <f t="shared" ca="1" si="41"/>
        <v>-3402.3777777777777</v>
      </c>
      <c r="M40" s="319">
        <f t="shared" ca="1" si="41"/>
        <v>-3402.3777777777777</v>
      </c>
      <c r="N40" s="319">
        <f t="shared" ca="1" si="41"/>
        <v>-3402.3777777777777</v>
      </c>
      <c r="O40" s="322">
        <f ca="1">SUM(C40:N40)</f>
        <v>-36613.333333333343</v>
      </c>
      <c r="P40" s="320">
        <f t="shared" si="41"/>
        <v>-6699.333333333343</v>
      </c>
      <c r="Q40" s="320">
        <f t="shared" si="41"/>
        <v>-28910.666666666672</v>
      </c>
      <c r="R40" s="320">
        <f t="shared" si="41"/>
        <v>-492.5</v>
      </c>
      <c r="S40" s="320">
        <f t="shared" si="41"/>
        <v>-20974.333333333328</v>
      </c>
      <c r="T40" s="322">
        <f>SUM(P40:S40)</f>
        <v>-57076.833333333343</v>
      </c>
      <c r="U40" s="320">
        <f t="shared" si="41"/>
        <v>-24546.833333333328</v>
      </c>
      <c r="V40" s="320">
        <f t="shared" si="41"/>
        <v>-26931.666666666672</v>
      </c>
      <c r="W40" s="320">
        <f t="shared" si="41"/>
        <v>4543.6666666666715</v>
      </c>
      <c r="X40" s="320">
        <f t="shared" si="41"/>
        <v>-18306.5</v>
      </c>
      <c r="Y40" s="323">
        <f>SUM(U40:X40)</f>
        <v>-65241.333333333328</v>
      </c>
      <c r="Z40" s="320">
        <f t="shared" ref="Z40:AC40" si="42">Z32</f>
        <v>7717.7333333333081</v>
      </c>
      <c r="AA40" s="320">
        <f t="shared" si="42"/>
        <v>7560.5666666666511</v>
      </c>
      <c r="AB40" s="320">
        <f t="shared" si="42"/>
        <v>72304.399999999994</v>
      </c>
      <c r="AC40" s="320">
        <f t="shared" si="42"/>
        <v>20845.233333333308</v>
      </c>
      <c r="AD40" s="323">
        <f>SUM(Z40:AC40)</f>
        <v>108427.93333333326</v>
      </c>
    </row>
    <row r="41" spans="2:32" x14ac:dyDescent="0.2">
      <c r="B41" s="6" t="s">
        <v>7</v>
      </c>
      <c r="C41" s="320">
        <f t="shared" ref="C41:N41" si="43">C16</f>
        <v>138.88888888888889</v>
      </c>
      <c r="D41" s="320">
        <f t="shared" si="43"/>
        <v>138.88888888888889</v>
      </c>
      <c r="E41" s="320">
        <f t="shared" si="43"/>
        <v>1650.1888888888889</v>
      </c>
      <c r="F41" s="320">
        <f t="shared" si="43"/>
        <v>1650.1888888888889</v>
      </c>
      <c r="G41" s="320">
        <f t="shared" si="43"/>
        <v>1650.1888888888889</v>
      </c>
      <c r="H41" s="320">
        <f t="shared" si="43"/>
        <v>1650.1888888888889</v>
      </c>
      <c r="I41" s="320">
        <f t="shared" si="43"/>
        <v>1650.1888888888889</v>
      </c>
      <c r="J41" s="320">
        <f t="shared" si="43"/>
        <v>1650.1888888888889</v>
      </c>
      <c r="K41" s="320">
        <f t="shared" si="43"/>
        <v>1650.1888888888889</v>
      </c>
      <c r="L41" s="320">
        <f t="shared" si="43"/>
        <v>1650.1888888888889</v>
      </c>
      <c r="M41" s="320">
        <f t="shared" si="43"/>
        <v>1650.1888888888889</v>
      </c>
      <c r="N41" s="320">
        <f t="shared" si="43"/>
        <v>1650.1888888888889</v>
      </c>
      <c r="O41" s="304">
        <f>SUM(C41:N41)</f>
        <v>16779.666666666672</v>
      </c>
      <c r="P41" s="320">
        <f>P16</f>
        <v>7286.6666666666679</v>
      </c>
      <c r="Q41" s="320">
        <f>Q16</f>
        <v>8909.5833333333339</v>
      </c>
      <c r="R41" s="320">
        <f>R16</f>
        <v>12987.500000000002</v>
      </c>
      <c r="S41" s="320">
        <f>S16</f>
        <v>15837.91666666667</v>
      </c>
      <c r="T41" s="304">
        <f t="shared" ref="T41:T43" si="44">SUM(P41:S41)</f>
        <v>45021.666666666672</v>
      </c>
      <c r="U41" s="320">
        <f>U16</f>
        <v>18816.666666666668</v>
      </c>
      <c r="V41" s="320">
        <f>V16</f>
        <v>21908.333333333336</v>
      </c>
      <c r="W41" s="320">
        <f>W16</f>
        <v>27850.416666666668</v>
      </c>
      <c r="X41" s="320">
        <f>X16</f>
        <v>32565.000000000004</v>
      </c>
      <c r="Y41" s="321">
        <f t="shared" ref="Y41:Y43" si="45">SUM(U41:X41)</f>
        <v>101140.41666666667</v>
      </c>
      <c r="Z41" s="320">
        <f t="shared" ref="Z41:AC41" si="46">Z16</f>
        <v>32104.583333333339</v>
      </c>
      <c r="AA41" s="320">
        <f t="shared" si="46"/>
        <v>33881.666666666672</v>
      </c>
      <c r="AB41" s="320">
        <f t="shared" si="46"/>
        <v>41051.250000000007</v>
      </c>
      <c r="AC41" s="320">
        <f t="shared" si="46"/>
        <v>44820.833333333343</v>
      </c>
      <c r="AD41" s="321">
        <f t="shared" ref="AD41:AD43" si="47">SUM(Z41:AC41)</f>
        <v>151858.33333333337</v>
      </c>
    </row>
    <row r="42" spans="2:32" x14ac:dyDescent="0.2">
      <c r="B42" s="6" t="s">
        <v>8</v>
      </c>
      <c r="C42" s="302">
        <f>C20</f>
        <v>0</v>
      </c>
      <c r="D42" s="302">
        <f t="shared" ref="D42:AC42" si="48">D20</f>
        <v>0</v>
      </c>
      <c r="E42" s="302">
        <f t="shared" si="48"/>
        <v>2034</v>
      </c>
      <c r="F42" s="302">
        <f t="shared" si="48"/>
        <v>0</v>
      </c>
      <c r="G42" s="302">
        <f t="shared" si="48"/>
        <v>0</v>
      </c>
      <c r="H42" s="302">
        <f t="shared" si="48"/>
        <v>0</v>
      </c>
      <c r="I42" s="302">
        <f t="shared" si="48"/>
        <v>0</v>
      </c>
      <c r="J42" s="302">
        <f t="shared" si="48"/>
        <v>0</v>
      </c>
      <c r="K42" s="302">
        <f t="shared" si="48"/>
        <v>0</v>
      </c>
      <c r="L42" s="302">
        <f t="shared" si="48"/>
        <v>0</v>
      </c>
      <c r="M42" s="302">
        <f t="shared" si="48"/>
        <v>0</v>
      </c>
      <c r="N42" s="302">
        <f t="shared" si="48"/>
        <v>0</v>
      </c>
      <c r="O42" s="304">
        <f>SUM(C42:N42)</f>
        <v>2034</v>
      </c>
      <c r="P42" s="302">
        <f>P20</f>
        <v>3710</v>
      </c>
      <c r="Q42" s="302">
        <f>Q20</f>
        <v>1947.5</v>
      </c>
      <c r="R42" s="302">
        <f>R20</f>
        <v>4893.5</v>
      </c>
      <c r="S42" s="302">
        <f>S20</f>
        <v>3420.5</v>
      </c>
      <c r="T42" s="304">
        <f t="shared" si="44"/>
        <v>13971.5</v>
      </c>
      <c r="U42" s="302">
        <f t="shared" si="48"/>
        <v>3574.5</v>
      </c>
      <c r="V42" s="302">
        <f t="shared" si="48"/>
        <v>3710</v>
      </c>
      <c r="W42" s="302">
        <f t="shared" si="48"/>
        <v>7130.5</v>
      </c>
      <c r="X42" s="302">
        <f t="shared" si="48"/>
        <v>5657.5</v>
      </c>
      <c r="Y42" s="321">
        <f t="shared" si="45"/>
        <v>20072.5</v>
      </c>
      <c r="Z42" s="302">
        <f t="shared" si="48"/>
        <v>1947.5</v>
      </c>
      <c r="AA42" s="302">
        <f t="shared" si="48"/>
        <v>2132.5</v>
      </c>
      <c r="AB42" s="302">
        <f t="shared" si="48"/>
        <v>8603.5</v>
      </c>
      <c r="AC42" s="302">
        <f t="shared" si="48"/>
        <v>4523.5</v>
      </c>
      <c r="AD42" s="321">
        <f t="shared" si="47"/>
        <v>17207</v>
      </c>
    </row>
    <row r="43" spans="2:32" x14ac:dyDescent="0.2">
      <c r="B43" s="6" t="s">
        <v>9</v>
      </c>
      <c r="C43" s="302">
        <f>('1 Produkt- und Absatzplanung '!$D$37*'1 Produkt- und Absatzplanung '!C9)+('1 Produkt- und Absatzplanung '!$D$38*'1 Produkt- und Absatzplanung '!C15)+('1 Produkt- und Absatzplanung '!$D$39*'1 Produkt- und Absatzplanung '!C21)</f>
        <v>0</v>
      </c>
      <c r="D43" s="302">
        <f>('1 Produkt- und Absatzplanung '!$D$37*'1 Produkt- und Absatzplanung '!D9)+('1 Produkt- und Absatzplanung '!$D$38*'1 Produkt- und Absatzplanung '!D15)+('1 Produkt- und Absatzplanung '!$D$39*'1 Produkt- und Absatzplanung '!D21)</f>
        <v>0</v>
      </c>
      <c r="E43" s="302">
        <f>('1 Produkt- und Absatzplanung '!$D$37*'1 Produkt- und Absatzplanung '!E9)+('1 Produkt- und Absatzplanung '!$D$38*'1 Produkt- und Absatzplanung '!E15)+('1 Produkt- und Absatzplanung '!$D$39*'1 Produkt- und Absatzplanung '!E21)</f>
        <v>20340</v>
      </c>
      <c r="F43" s="302">
        <f>('1 Produkt- und Absatzplanung '!$D$37*'1 Produkt- und Absatzplanung '!F9)+('1 Produkt- und Absatzplanung '!$D$38*'1 Produkt- und Absatzplanung '!F15)+('1 Produkt- und Absatzplanung '!$D$39*'1 Produkt- und Absatzplanung '!F21)</f>
        <v>0</v>
      </c>
      <c r="G43" s="302">
        <f>('1 Produkt- und Absatzplanung '!$D$37*'1 Produkt- und Absatzplanung '!G9)+('1 Produkt- und Absatzplanung '!$D$38*'1 Produkt- und Absatzplanung '!G15)+('1 Produkt- und Absatzplanung '!$D$39*'1 Produkt- und Absatzplanung '!G21)</f>
        <v>0</v>
      </c>
      <c r="H43" s="302">
        <f>('1 Produkt- und Absatzplanung '!$D$37*'1 Produkt- und Absatzplanung '!H9)+('1 Produkt- und Absatzplanung '!$D$38*'1 Produkt- und Absatzplanung '!H15)+('1 Produkt- und Absatzplanung '!$D$39*'1 Produkt- und Absatzplanung '!H21)</f>
        <v>0</v>
      </c>
      <c r="I43" s="302">
        <f>('1 Produkt- und Absatzplanung '!$D$37*'1 Produkt- und Absatzplanung '!I9)+('1 Produkt- und Absatzplanung '!$D$38*'1 Produkt- und Absatzplanung '!I15)+('1 Produkt- und Absatzplanung '!$D$39*'1 Produkt- und Absatzplanung '!I21)</f>
        <v>0</v>
      </c>
      <c r="J43" s="302">
        <f>('1 Produkt- und Absatzplanung '!$D$37*'1 Produkt- und Absatzplanung '!J9)+('1 Produkt- und Absatzplanung '!$D$38*'1 Produkt- und Absatzplanung '!J15)+('1 Produkt- und Absatzplanung '!$D$39*'1 Produkt- und Absatzplanung '!J21)</f>
        <v>0</v>
      </c>
      <c r="K43" s="302">
        <f>('1 Produkt- und Absatzplanung '!$D$37*'1 Produkt- und Absatzplanung '!K9)+('1 Produkt- und Absatzplanung '!$D$38*'1 Produkt- und Absatzplanung '!K15)+('1 Produkt- und Absatzplanung '!$D$39*'1 Produkt- und Absatzplanung '!K21)</f>
        <v>0</v>
      </c>
      <c r="L43" s="302">
        <f>('1 Produkt- und Absatzplanung '!$D$37*'1 Produkt- und Absatzplanung '!L9)+('1 Produkt- und Absatzplanung '!$D$38*'1 Produkt- und Absatzplanung '!L15)+('1 Produkt- und Absatzplanung '!$D$39*'1 Produkt- und Absatzplanung '!L21)</f>
        <v>0</v>
      </c>
      <c r="M43" s="302">
        <f>('1 Produkt- und Absatzplanung '!$D$37*'1 Produkt- und Absatzplanung '!M9)+('1 Produkt- und Absatzplanung '!$D$38*'1 Produkt- und Absatzplanung '!M15)+('1 Produkt- und Absatzplanung '!$D$39*'1 Produkt- und Absatzplanung '!M21)</f>
        <v>0</v>
      </c>
      <c r="N43" s="302">
        <f>('1 Produkt- und Absatzplanung '!$D$37*'1 Produkt- und Absatzplanung '!N9)+('1 Produkt- und Absatzplanung '!$D$38*'1 Produkt- und Absatzplanung '!N15)+('1 Produkt- und Absatzplanung '!$D$39*'1 Produkt- und Absatzplanung '!N21)</f>
        <v>0</v>
      </c>
      <c r="O43" s="304">
        <f>SUM(C43:N43)</f>
        <v>20340</v>
      </c>
      <c r="P43" s="302">
        <f>('1 Produkt- und Absatzplanung '!$D$37*'1 Produkt- und Absatzplanung '!P9)+('1 Produkt- und Absatzplanung '!$D$38*'1 Produkt- und Absatzplanung '!P15)+('1 Produkt- und Absatzplanung '!$D$39*'1 Produkt- und Absatzplanung '!P21)</f>
        <v>37100</v>
      </c>
      <c r="Q43" s="302">
        <f>('1 Produkt- und Absatzplanung '!$D$37*'1 Produkt- und Absatzplanung '!Q9)+('1 Produkt- und Absatzplanung '!$D$38*'1 Produkt- und Absatzplanung '!Q15)+('1 Produkt- und Absatzplanung '!$D$39*'1 Produkt- und Absatzplanung '!Q21)</f>
        <v>19475</v>
      </c>
      <c r="R43" s="302">
        <f>('1 Produkt- und Absatzplanung '!$D$37*'1 Produkt- und Absatzplanung '!R9)+('1 Produkt- und Absatzplanung '!$D$38*'1 Produkt- und Absatzplanung '!R15)+('1 Produkt- und Absatzplanung '!$D$39*'1 Produkt- und Absatzplanung '!R21)</f>
        <v>48935</v>
      </c>
      <c r="S43" s="302">
        <f>('1 Produkt- und Absatzplanung '!$D$37*'1 Produkt- und Absatzplanung '!S9)+('1 Produkt- und Absatzplanung '!$D$38*'1 Produkt- und Absatzplanung '!S15)+('1 Produkt- und Absatzplanung '!$D$39*'1 Produkt- und Absatzplanung '!S21)</f>
        <v>34205</v>
      </c>
      <c r="T43" s="304">
        <f t="shared" si="44"/>
        <v>139715</v>
      </c>
      <c r="U43" s="302">
        <f>('1 Produkt- und Absatzplanung '!$D$37*'1 Produkt- und Absatzplanung '!U9)+('1 Produkt- und Absatzplanung '!$D$38*'1 Produkt- und Absatzplanung '!U15)+('1 Produkt- und Absatzplanung '!$D$39*'1 Produkt- und Absatzplanung '!U21)</f>
        <v>35745</v>
      </c>
      <c r="V43" s="302">
        <f>('1 Produkt- und Absatzplanung '!$D$37*'1 Produkt- und Absatzplanung '!V9)+('1 Produkt- und Absatzplanung '!$D$38*'1 Produkt- und Absatzplanung '!V15)+('1 Produkt- und Absatzplanung '!$D$39*'1 Produkt- und Absatzplanung '!V21)</f>
        <v>37100</v>
      </c>
      <c r="W43" s="302">
        <f>('1 Produkt- und Absatzplanung '!$D$37*'1 Produkt- und Absatzplanung '!W9)+('1 Produkt- und Absatzplanung '!$D$38*'1 Produkt- und Absatzplanung '!W15)+('1 Produkt- und Absatzplanung '!$D$39*'1 Produkt- und Absatzplanung '!W21)</f>
        <v>71305</v>
      </c>
      <c r="X43" s="302">
        <f>('1 Produkt- und Absatzplanung '!$D$37*'1 Produkt- und Absatzplanung '!X9)+('1 Produkt- und Absatzplanung '!$D$38*'1 Produkt- und Absatzplanung '!X15)+('1 Produkt- und Absatzplanung '!$D$39*'1 Produkt- und Absatzplanung '!X21)</f>
        <v>56575</v>
      </c>
      <c r="Y43" s="321">
        <f t="shared" si="45"/>
        <v>200725</v>
      </c>
      <c r="Z43" s="302">
        <f>('1 Produkt- und Absatzplanung '!$D$37*'1 Produkt- und Absatzplanung '!Z9)+('1 Produkt- und Absatzplanung '!$D$38*'1 Produkt- und Absatzplanung '!Z15)+('1 Produkt- und Absatzplanung '!$D$39*'1 Produkt- und Absatzplanung '!Z21)</f>
        <v>19475</v>
      </c>
      <c r="AA43" s="302">
        <f>('1 Produkt- und Absatzplanung '!$D$37*'1 Produkt- und Absatzplanung '!AA9)+('1 Produkt- und Absatzplanung '!$D$38*'1 Produkt- und Absatzplanung '!AA15)+('1 Produkt- und Absatzplanung '!$D$39*'1 Produkt- und Absatzplanung '!AA21)</f>
        <v>21325</v>
      </c>
      <c r="AB43" s="302">
        <f>('1 Produkt- und Absatzplanung '!$D$37*'1 Produkt- und Absatzplanung '!AB9)+('1 Produkt- und Absatzplanung '!$D$38*'1 Produkt- und Absatzplanung '!AB15)+('1 Produkt- und Absatzplanung '!$D$39*'1 Produkt- und Absatzplanung '!AB21)</f>
        <v>86035</v>
      </c>
      <c r="AC43" s="302">
        <f>('1 Produkt- und Absatzplanung '!$D$37*'1 Produkt- und Absatzplanung '!AC9)+('1 Produkt- und Absatzplanung '!$D$38*'1 Produkt- und Absatzplanung '!AC15)+('1 Produkt- und Absatzplanung '!$D$39*'1 Produkt- und Absatzplanung '!AC21)</f>
        <v>45235</v>
      </c>
      <c r="AD43" s="321">
        <f t="shared" si="47"/>
        <v>172070</v>
      </c>
    </row>
    <row r="44" spans="2:32" x14ac:dyDescent="0.2">
      <c r="B44" s="3" t="s">
        <v>126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0">
        <f ca="1">O40+O41+O42-O43</f>
        <v>-38139.666666666672</v>
      </c>
      <c r="P44" s="310">
        <f t="shared" ref="P44:AC44" si="49">SUM(P40:P43)</f>
        <v>41397.333333333328</v>
      </c>
      <c r="Q44" s="310">
        <f t="shared" si="49"/>
        <v>1421.4166666666642</v>
      </c>
      <c r="R44" s="310">
        <f t="shared" si="49"/>
        <v>66323.5</v>
      </c>
      <c r="S44" s="310">
        <f t="shared" si="49"/>
        <v>32489.083333333343</v>
      </c>
      <c r="T44" s="310">
        <f>T40+T41+T42-T43</f>
        <v>-137798.66666666669</v>
      </c>
      <c r="U44" s="310">
        <f t="shared" si="49"/>
        <v>33589.333333333343</v>
      </c>
      <c r="V44" s="310">
        <f t="shared" si="49"/>
        <v>35786.666666666664</v>
      </c>
      <c r="W44" s="310">
        <f t="shared" si="49"/>
        <v>110829.58333333334</v>
      </c>
      <c r="X44" s="310">
        <f t="shared" si="49"/>
        <v>76491</v>
      </c>
      <c r="Y44" s="310">
        <f>Y40+Y41+Y42-Y43</f>
        <v>-144753.41666666666</v>
      </c>
      <c r="Z44" s="310">
        <f t="shared" si="49"/>
        <v>61244.816666666651</v>
      </c>
      <c r="AA44" s="310">
        <f t="shared" si="49"/>
        <v>64899.733333333323</v>
      </c>
      <c r="AB44" s="310">
        <f t="shared" si="49"/>
        <v>207994.15</v>
      </c>
      <c r="AC44" s="310">
        <f t="shared" si="49"/>
        <v>115424.56666666665</v>
      </c>
      <c r="AD44" s="310">
        <f>AD40+AD41+AD42-AD43</f>
        <v>105423.2666666666</v>
      </c>
    </row>
    <row r="45" spans="2:32" x14ac:dyDescent="0.2">
      <c r="AA45" s="48"/>
    </row>
    <row r="46" spans="2:32" x14ac:dyDescent="0.2">
      <c r="AA46" s="48"/>
    </row>
    <row r="47" spans="2:32" ht="119" x14ac:dyDescent="0.2">
      <c r="C47" s="44" t="s">
        <v>288</v>
      </c>
      <c r="AA47" s="48"/>
      <c r="AF47" s="281" t="s">
        <v>276</v>
      </c>
    </row>
    <row r="48" spans="2:32" x14ac:dyDescent="0.2">
      <c r="C48" s="44" t="s">
        <v>287</v>
      </c>
      <c r="AA48" s="48"/>
    </row>
    <row r="49" spans="32:32" ht="85" x14ac:dyDescent="0.2">
      <c r="AF49" s="282" t="s">
        <v>277</v>
      </c>
    </row>
    <row r="50" spans="32:32" x14ac:dyDescent="0.2">
      <c r="AF50" s="281"/>
    </row>
    <row r="51" spans="32:32" ht="34" x14ac:dyDescent="0.2">
      <c r="AF51" s="281" t="s">
        <v>278</v>
      </c>
    </row>
    <row r="52" spans="32:32" ht="34" x14ac:dyDescent="0.2">
      <c r="AF52" s="281" t="s">
        <v>279</v>
      </c>
    </row>
    <row r="53" spans="32:32" ht="34" x14ac:dyDescent="0.2">
      <c r="AF53" s="281" t="s">
        <v>280</v>
      </c>
    </row>
    <row r="55" spans="32:32" ht="85" x14ac:dyDescent="0.2">
      <c r="AF55" s="275" t="s">
        <v>289</v>
      </c>
    </row>
    <row r="56" spans="32:32" ht="255" x14ac:dyDescent="0.2">
      <c r="AF56" s="275" t="s">
        <v>290</v>
      </c>
    </row>
    <row r="58" spans="32:32" ht="255" x14ac:dyDescent="0.2">
      <c r="AF58" s="275" t="s">
        <v>291</v>
      </c>
    </row>
  </sheetData>
  <dataConsolidate>
    <dataRefs count="1">
      <dataRef ref="B16" sheet="3 GuV - Cashflow"/>
    </dataRefs>
  </dataConsolidate>
  <phoneticPr fontId="4" type="noConversion"/>
  <pageMargins left="0.7" right="0.7" top="0.75" bottom="0.75" header="0.3" footer="0.3"/>
  <pageSetup paperSize="9" orientation="portrait" horizontalDpi="0" verticalDpi="0"/>
  <ignoredErrors>
    <ignoredError sqref="C8:Y13 C14:O14 T14 P14:S14 Y14 U14:X14 O6 T6 T15 O15 Y6 Y15 O16 T16 Y16 O7:Y7 C26:Y31 D25:N25 P25:Y25 C24:Y24 O23 T23 Y23 C21:Y22 O20 T20 Y20 O19 T19 Y19" unlocked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34EF-B348-4141-9379-478DF85F1B7F}">
  <dimension ref="B2:AH63"/>
  <sheetViews>
    <sheetView showGridLines="0" topLeftCell="A3" zoomScaleNormal="100" workbookViewId="0">
      <selection activeCell="F36" sqref="F36"/>
    </sheetView>
  </sheetViews>
  <sheetFormatPr baseColWidth="10" defaultColWidth="11" defaultRowHeight="16" x14ac:dyDescent="0.2"/>
  <cols>
    <col min="1" max="1" width="2.6640625" style="44" customWidth="1"/>
    <col min="2" max="2" width="25.1640625" style="44" customWidth="1"/>
    <col min="3" max="5" width="16.6640625" style="44" customWidth="1"/>
    <col min="6" max="46" width="14.5" style="44" customWidth="1"/>
    <col min="47" max="16384" width="11" style="44"/>
  </cols>
  <sheetData>
    <row r="2" spans="2:34" ht="30" x14ac:dyDescent="0.3">
      <c r="B2" s="98" t="s">
        <v>44</v>
      </c>
    </row>
    <row r="3" spans="2:34" x14ac:dyDescent="0.2">
      <c r="B3" s="45" t="s">
        <v>180</v>
      </c>
    </row>
    <row r="5" spans="2:34" ht="18" x14ac:dyDescent="0.2">
      <c r="B5" s="117"/>
    </row>
    <row r="8" spans="2:34" x14ac:dyDescent="0.2">
      <c r="N8" s="78"/>
      <c r="O8" s="78"/>
      <c r="P8" s="78"/>
      <c r="Q8" s="78"/>
      <c r="R8" s="78"/>
    </row>
    <row r="11" spans="2:34" x14ac:dyDescent="0.2">
      <c r="P11" s="78"/>
      <c r="Q11" s="78"/>
      <c r="R11" s="78"/>
      <c r="S11" s="78"/>
      <c r="T11" s="78"/>
    </row>
    <row r="12" spans="2:34" x14ac:dyDescent="0.2">
      <c r="P12" s="78"/>
      <c r="Q12" s="78"/>
      <c r="R12" s="78"/>
      <c r="S12" s="78"/>
      <c r="T12" s="78"/>
    </row>
    <row r="16" spans="2:34" ht="18" x14ac:dyDescent="0.2"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</row>
    <row r="17" spans="15:34" x14ac:dyDescent="0.2">
      <c r="O17" s="80"/>
      <c r="P17" s="80"/>
      <c r="Q17" s="80"/>
      <c r="R17" s="80"/>
      <c r="S17" s="80"/>
      <c r="T17" s="80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</row>
    <row r="18" spans="15:34" x14ac:dyDescent="0.2"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</row>
    <row r="33" spans="2:10" x14ac:dyDescent="0.2">
      <c r="B33" s="245" t="s">
        <v>152</v>
      </c>
      <c r="C33" s="244" t="s">
        <v>100</v>
      </c>
      <c r="D33" s="244" t="s">
        <v>105</v>
      </c>
      <c r="E33" s="244" t="s">
        <v>110</v>
      </c>
      <c r="F33" s="244" t="s">
        <v>248</v>
      </c>
    </row>
    <row r="34" spans="2:10" x14ac:dyDescent="0.2">
      <c r="B34" s="81" t="s">
        <v>43</v>
      </c>
      <c r="C34" s="82">
        <f>'3 GuV - Cashflow'!O6</f>
        <v>0</v>
      </c>
      <c r="D34" s="82">
        <f>'3 GuV - Cashflow'!T6</f>
        <v>197559</v>
      </c>
      <c r="E34" s="82">
        <f>'3 GuV - Cashflow'!Y6</f>
        <v>377318</v>
      </c>
      <c r="F34" s="82">
        <f>'3 GuV - Cashflow'!AD6</f>
        <v>750788</v>
      </c>
    </row>
    <row r="35" spans="2:10" x14ac:dyDescent="0.2">
      <c r="B35" s="81" t="s">
        <v>42</v>
      </c>
      <c r="C35" s="82">
        <f>C34-'3 GuV - Cashflow'!T14-'3 GuV - Cashflow'!T15</f>
        <v>-148821</v>
      </c>
      <c r="D35" s="82">
        <f>D34-'3 GuV - Cashflow'!T14-'3 GuV - Cashflow'!T15</f>
        <v>48738</v>
      </c>
      <c r="E35" s="82">
        <f>E34-'3 GuV - Cashflow'!Y14-'3 GuV - Cashflow'!Y15</f>
        <v>158912</v>
      </c>
      <c r="F35" s="82">
        <f>F34-'3 GuV - Cashflow'!AD14-'3 GuV - Cashflow'!AD15</f>
        <v>431151.6</v>
      </c>
    </row>
    <row r="37" spans="2:10" x14ac:dyDescent="0.2">
      <c r="B37" s="44" t="s">
        <v>204</v>
      </c>
      <c r="H37" s="83"/>
      <c r="I37" s="83"/>
      <c r="J37" s="83"/>
    </row>
    <row r="38" spans="2:10" x14ac:dyDescent="0.2">
      <c r="B38" s="84"/>
      <c r="C38" s="85"/>
      <c r="G38" s="86"/>
      <c r="H38" s="87"/>
      <c r="I38" s="87"/>
      <c r="J38" s="87"/>
    </row>
    <row r="39" spans="2:10" x14ac:dyDescent="0.2">
      <c r="E39" s="86"/>
      <c r="F39" s="87"/>
      <c r="G39" s="87"/>
      <c r="H39" s="87"/>
      <c r="I39" s="87"/>
      <c r="J39" s="87"/>
    </row>
    <row r="59" spans="2:6" x14ac:dyDescent="0.2">
      <c r="B59" s="88"/>
      <c r="C59" s="88"/>
      <c r="D59" s="88"/>
      <c r="E59" s="88"/>
      <c r="F59" s="88"/>
    </row>
    <row r="60" spans="2:6" x14ac:dyDescent="0.2">
      <c r="B60" s="88"/>
      <c r="C60" s="88"/>
      <c r="D60" s="88"/>
      <c r="E60" s="88"/>
      <c r="F60" s="88"/>
    </row>
    <row r="62" spans="2:6" x14ac:dyDescent="0.2">
      <c r="B62" s="89"/>
      <c r="C62" s="89"/>
      <c r="D62" s="89"/>
      <c r="E62" s="89"/>
      <c r="F62" s="89"/>
    </row>
    <row r="63" spans="2:6" x14ac:dyDescent="0.2">
      <c r="B63" s="89"/>
      <c r="C63" s="89"/>
      <c r="D63" s="89"/>
      <c r="E63" s="89"/>
      <c r="F63" s="89"/>
    </row>
  </sheetData>
  <mergeCells count="5">
    <mergeCell ref="O16:R16"/>
    <mergeCell ref="S16:V16"/>
    <mergeCell ref="W16:Z16"/>
    <mergeCell ref="AA16:AD16"/>
    <mergeCell ref="AE16:AH16"/>
  </mergeCells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6C4B-67EF-7244-A9B6-FEEF5A4896B1}">
  <dimension ref="B2:AE24"/>
  <sheetViews>
    <sheetView showGridLines="0" zoomScaleNormal="100" workbookViewId="0">
      <selection activeCell="D7" sqref="D7"/>
    </sheetView>
  </sheetViews>
  <sheetFormatPr baseColWidth="10" defaultColWidth="10.83203125" defaultRowHeight="16" outlineLevelCol="1" x14ac:dyDescent="0.2"/>
  <cols>
    <col min="1" max="1" width="2.6640625" style="44" customWidth="1"/>
    <col min="2" max="2" width="20.83203125" style="44" customWidth="1"/>
    <col min="3" max="3" width="11.5" style="44" customWidth="1"/>
    <col min="4" max="4" width="11.33203125" style="44" customWidth="1" outlineLevel="1"/>
    <col min="5" max="14" width="11" style="44" customWidth="1" outlineLevel="1"/>
    <col min="15" max="15" width="11.33203125" style="44" customWidth="1" outlineLevel="1"/>
    <col min="16" max="16" width="10.83203125" style="44"/>
    <col min="17" max="20" width="10.83203125" style="44" outlineLevel="1"/>
    <col min="21" max="21" width="10.83203125" style="44"/>
    <col min="22" max="25" width="10.83203125" style="44" outlineLevel="1"/>
    <col min="26" max="16384" width="10.83203125" style="44"/>
  </cols>
  <sheetData>
    <row r="2" spans="2:31" ht="30" x14ac:dyDescent="0.3">
      <c r="B2" s="98" t="s">
        <v>181</v>
      </c>
      <c r="C2" s="98"/>
    </row>
    <row r="4" spans="2:31" x14ac:dyDescent="0.2">
      <c r="B4" s="94"/>
      <c r="C4" s="95"/>
      <c r="D4" s="46" t="s">
        <v>88</v>
      </c>
      <c r="E4" s="46" t="s">
        <v>89</v>
      </c>
      <c r="F4" s="46" t="s">
        <v>90</v>
      </c>
      <c r="G4" s="46" t="s">
        <v>91</v>
      </c>
      <c r="H4" s="46" t="s">
        <v>92</v>
      </c>
      <c r="I4" s="46" t="s">
        <v>93</v>
      </c>
      <c r="J4" s="46" t="s">
        <v>94</v>
      </c>
      <c r="K4" s="46" t="s">
        <v>95</v>
      </c>
      <c r="L4" s="46" t="s">
        <v>96</v>
      </c>
      <c r="M4" s="46" t="s">
        <v>97</v>
      </c>
      <c r="N4" s="46" t="s">
        <v>98</v>
      </c>
      <c r="O4" s="46" t="s">
        <v>99</v>
      </c>
      <c r="P4" s="27" t="s">
        <v>100</v>
      </c>
      <c r="Q4" s="46" t="s">
        <v>101</v>
      </c>
      <c r="R4" s="46" t="s">
        <v>102</v>
      </c>
      <c r="S4" s="46" t="s">
        <v>103</v>
      </c>
      <c r="T4" s="46" t="s">
        <v>104</v>
      </c>
      <c r="U4" s="27" t="s">
        <v>105</v>
      </c>
      <c r="V4" s="47" t="s">
        <v>106</v>
      </c>
      <c r="W4" s="47" t="s">
        <v>107</v>
      </c>
      <c r="X4" s="47" t="s">
        <v>108</v>
      </c>
      <c r="Y4" s="47" t="s">
        <v>109</v>
      </c>
      <c r="Z4" s="4" t="s">
        <v>110</v>
      </c>
      <c r="AA4" s="47" t="s">
        <v>249</v>
      </c>
      <c r="AB4" s="47" t="s">
        <v>250</v>
      </c>
      <c r="AC4" s="47" t="s">
        <v>251</v>
      </c>
      <c r="AD4" s="47" t="s">
        <v>252</v>
      </c>
      <c r="AE4" s="4" t="s">
        <v>248</v>
      </c>
    </row>
    <row r="5" spans="2:31" ht="18" x14ac:dyDescent="0.2">
      <c r="B5" s="247" t="s">
        <v>47</v>
      </c>
      <c r="C5" s="134"/>
      <c r="D5" s="324">
        <f>SUM(D6:D7)</f>
        <v>100000</v>
      </c>
      <c r="E5" s="325">
        <f t="shared" ref="E5:P5" si="0">SUM(E6:E7)</f>
        <v>0</v>
      </c>
      <c r="F5" s="325">
        <f t="shared" si="0"/>
        <v>0</v>
      </c>
      <c r="G5" s="325">
        <f t="shared" si="0"/>
        <v>0</v>
      </c>
      <c r="H5" s="325">
        <f t="shared" si="0"/>
        <v>0</v>
      </c>
      <c r="I5" s="325">
        <f t="shared" si="0"/>
        <v>30000</v>
      </c>
      <c r="J5" s="325">
        <f t="shared" si="0"/>
        <v>0</v>
      </c>
      <c r="K5" s="325">
        <f t="shared" si="0"/>
        <v>0</v>
      </c>
      <c r="L5" s="325">
        <f t="shared" si="0"/>
        <v>0</v>
      </c>
      <c r="M5" s="325">
        <f t="shared" si="0"/>
        <v>0</v>
      </c>
      <c r="N5" s="325">
        <f t="shared" si="0"/>
        <v>0</v>
      </c>
      <c r="O5" s="326">
        <f t="shared" si="0"/>
        <v>0</v>
      </c>
      <c r="P5" s="327">
        <f t="shared" si="0"/>
        <v>130000</v>
      </c>
      <c r="Q5" s="324">
        <f t="shared" ref="Q5" si="1">SUM(Q6:Q7)</f>
        <v>48742</v>
      </c>
      <c r="R5" s="325">
        <f t="shared" ref="R5" si="2">SUM(R6:R7)</f>
        <v>28218</v>
      </c>
      <c r="S5" s="325">
        <f t="shared" ref="S5" si="3">SUM(S6:S7)</f>
        <v>168248</v>
      </c>
      <c r="T5" s="326">
        <f t="shared" ref="T5" si="4">SUM(T6:T7)</f>
        <v>52351</v>
      </c>
      <c r="U5" s="327">
        <f t="shared" ref="U5" si="5">SUM(U6:U7)</f>
        <v>297559</v>
      </c>
      <c r="V5" s="324">
        <f t="shared" ref="V5" si="6">SUM(V6:V7)</f>
        <v>70871</v>
      </c>
      <c r="W5" s="325">
        <f t="shared" ref="W5" si="7">SUM(W6:W7)</f>
        <v>75213</v>
      </c>
      <c r="X5" s="325">
        <f t="shared" ref="X5" si="8">SUM(X6:X7)</f>
        <v>122758</v>
      </c>
      <c r="Y5" s="326">
        <f t="shared" ref="Y5:AC5" si="9">SUM(Y6:Y7)</f>
        <v>108476</v>
      </c>
      <c r="Z5" s="327">
        <f t="shared" si="9"/>
        <v>377318</v>
      </c>
      <c r="AA5" s="324">
        <f t="shared" si="9"/>
        <v>153494</v>
      </c>
      <c r="AB5" s="325">
        <f t="shared" si="9"/>
        <v>157280</v>
      </c>
      <c r="AC5" s="325">
        <f t="shared" si="9"/>
        <v>243752</v>
      </c>
      <c r="AD5" s="326">
        <f t="shared" ref="AD5:AE5" si="10">SUM(AD6:AD7)</f>
        <v>196262</v>
      </c>
      <c r="AE5" s="327">
        <f t="shared" si="10"/>
        <v>750788</v>
      </c>
    </row>
    <row r="6" spans="2:31" x14ac:dyDescent="0.2">
      <c r="B6" s="100" t="s">
        <v>43</v>
      </c>
      <c r="C6" s="135"/>
      <c r="D6" s="101">
        <f>'3 GuV - Cashflow'!C6</f>
        <v>0</v>
      </c>
      <c r="E6" s="72">
        <f>'3 GuV - Cashflow'!D6</f>
        <v>0</v>
      </c>
      <c r="F6" s="72">
        <f>'3 GuV - Cashflow'!E6</f>
        <v>0</v>
      </c>
      <c r="G6" s="72">
        <f>'3 GuV - Cashflow'!F6</f>
        <v>0</v>
      </c>
      <c r="H6" s="72">
        <f>'3 GuV - Cashflow'!G6</f>
        <v>0</v>
      </c>
      <c r="I6" s="72">
        <f>'3 GuV - Cashflow'!H6</f>
        <v>0</v>
      </c>
      <c r="J6" s="72">
        <f>'3 GuV - Cashflow'!I6</f>
        <v>0</v>
      </c>
      <c r="K6" s="72">
        <f>'3 GuV - Cashflow'!J6</f>
        <v>0</v>
      </c>
      <c r="L6" s="72">
        <f>'3 GuV - Cashflow'!K6</f>
        <v>0</v>
      </c>
      <c r="M6" s="72">
        <f>'3 GuV - Cashflow'!L6</f>
        <v>0</v>
      </c>
      <c r="N6" s="72">
        <f>'3 GuV - Cashflow'!M6</f>
        <v>0</v>
      </c>
      <c r="O6" s="72">
        <f>'3 GuV - Cashflow'!N6</f>
        <v>0</v>
      </c>
      <c r="P6" s="328">
        <f>SUM(D6:O6)</f>
        <v>0</v>
      </c>
      <c r="Q6" s="72">
        <f>'3 GuV - Cashflow'!P6</f>
        <v>48742</v>
      </c>
      <c r="R6" s="72">
        <f>'3 GuV - Cashflow'!Q6</f>
        <v>28218</v>
      </c>
      <c r="S6" s="72">
        <f>'3 GuV - Cashflow'!R6</f>
        <v>68248</v>
      </c>
      <c r="T6" s="72">
        <f>'3 GuV - Cashflow'!S6</f>
        <v>52351</v>
      </c>
      <c r="U6" s="328">
        <f>SUM(Q6:T6)</f>
        <v>197559</v>
      </c>
      <c r="V6" s="72">
        <f>'3 GuV - Cashflow'!U6</f>
        <v>70871</v>
      </c>
      <c r="W6" s="72">
        <f>'3 GuV - Cashflow'!V6</f>
        <v>75213</v>
      </c>
      <c r="X6" s="72">
        <f>'3 GuV - Cashflow'!W6</f>
        <v>122758</v>
      </c>
      <c r="Y6" s="72">
        <f>'3 GuV - Cashflow'!X6</f>
        <v>108476</v>
      </c>
      <c r="Z6" s="328">
        <f>SUM(V6:Y6)</f>
        <v>377318</v>
      </c>
      <c r="AA6" s="72">
        <f>'3 GuV - Cashflow'!Z6</f>
        <v>153494</v>
      </c>
      <c r="AB6" s="72">
        <f>'3 GuV - Cashflow'!AA6</f>
        <v>157280</v>
      </c>
      <c r="AC6" s="72">
        <f>'3 GuV - Cashflow'!AB6</f>
        <v>243752</v>
      </c>
      <c r="AD6" s="72">
        <f>'3 GuV - Cashflow'!AC6</f>
        <v>196262</v>
      </c>
      <c r="AE6" s="328">
        <f>SUM(AA6:AD6)</f>
        <v>750788</v>
      </c>
    </row>
    <row r="7" spans="2:31" x14ac:dyDescent="0.2">
      <c r="B7" s="100" t="s">
        <v>48</v>
      </c>
      <c r="C7" s="135"/>
      <c r="D7" s="329">
        <f>'6 Kapitalbedarfsplanung'!D5</f>
        <v>100000</v>
      </c>
      <c r="E7" s="72"/>
      <c r="F7" s="72"/>
      <c r="G7" s="72"/>
      <c r="H7" s="72"/>
      <c r="I7" s="330">
        <v>30000</v>
      </c>
      <c r="J7" s="72"/>
      <c r="K7" s="72"/>
      <c r="L7" s="72"/>
      <c r="M7" s="72"/>
      <c r="N7" s="72"/>
      <c r="O7" s="102"/>
      <c r="P7" s="328">
        <f>SUM(D7:O7)</f>
        <v>130000</v>
      </c>
      <c r="Q7" s="68"/>
      <c r="S7" s="330">
        <v>100000</v>
      </c>
      <c r="T7" s="69"/>
      <c r="U7" s="328">
        <f>SUM(Q7:T7)</f>
        <v>100000</v>
      </c>
      <c r="V7" s="68"/>
      <c r="Y7" s="69"/>
      <c r="Z7" s="328">
        <f>SUM(V7:Y7)</f>
        <v>0</v>
      </c>
      <c r="AA7" s="68"/>
      <c r="AD7" s="69"/>
      <c r="AE7" s="328">
        <f>SUM(AA7:AD7)</f>
        <v>0</v>
      </c>
    </row>
    <row r="8" spans="2:31" x14ac:dyDescent="0.2">
      <c r="B8" s="99" t="s">
        <v>49</v>
      </c>
      <c r="C8" s="136"/>
      <c r="D8" s="324">
        <f>SUM(D9:D14)</f>
        <v>32273</v>
      </c>
      <c r="E8" s="325">
        <f t="shared" ref="E8:P8" si="11">SUM(E9:E14)</f>
        <v>150</v>
      </c>
      <c r="F8" s="325">
        <f t="shared" si="11"/>
        <v>20592</v>
      </c>
      <c r="G8" s="325">
        <f t="shared" si="11"/>
        <v>252</v>
      </c>
      <c r="H8" s="325">
        <f t="shared" si="11"/>
        <v>252</v>
      </c>
      <c r="I8" s="325">
        <f t="shared" si="11"/>
        <v>252</v>
      </c>
      <c r="J8" s="325">
        <f t="shared" si="11"/>
        <v>252</v>
      </c>
      <c r="K8" s="325">
        <f t="shared" si="11"/>
        <v>252</v>
      </c>
      <c r="L8" s="325">
        <f t="shared" si="11"/>
        <v>252</v>
      </c>
      <c r="M8" s="325">
        <f t="shared" si="11"/>
        <v>252</v>
      </c>
      <c r="N8" s="325">
        <f t="shared" si="11"/>
        <v>252</v>
      </c>
      <c r="O8" s="326">
        <f t="shared" si="11"/>
        <v>252</v>
      </c>
      <c r="P8" s="324">
        <f t="shared" si="11"/>
        <v>55283</v>
      </c>
      <c r="Q8" s="324">
        <f t="shared" ref="Q8" si="12">SUM(Q9:Q14)</f>
        <v>73958</v>
      </c>
      <c r="R8" s="325">
        <f t="shared" ref="R8" si="13">SUM(R9:R14)</f>
        <v>56537</v>
      </c>
      <c r="S8" s="325">
        <f t="shared" ref="S8" si="14">SUM(S9:S14)</f>
        <v>87632</v>
      </c>
      <c r="T8" s="326">
        <f t="shared" ref="T8" si="15">SUM(T9:T14)</f>
        <v>73259</v>
      </c>
      <c r="U8" s="327">
        <f t="shared" ref="U8" si="16">SUM(U9:U14)</f>
        <v>291386</v>
      </c>
      <c r="V8" s="324">
        <f t="shared" ref="V8" si="17">SUM(V9:V14)</f>
        <v>90780</v>
      </c>
      <c r="W8" s="325">
        <f t="shared" ref="W8" si="18">SUM(W9:W14)</f>
        <v>92543</v>
      </c>
      <c r="X8" s="325">
        <f t="shared" ref="X8" si="19">SUM(X9:X14)</f>
        <v>133763</v>
      </c>
      <c r="Y8" s="326">
        <f t="shared" ref="Y8:AC8" si="20">SUM(Y9:Y14)</f>
        <v>119574.6875</v>
      </c>
      <c r="Z8" s="327">
        <f t="shared" si="20"/>
        <v>436660.6875</v>
      </c>
      <c r="AA8" s="324">
        <f t="shared" si="20"/>
        <v>106028.97500000001</v>
      </c>
      <c r="AB8" s="325">
        <f t="shared" si="20"/>
        <v>108012.66250000001</v>
      </c>
      <c r="AC8" s="325">
        <f t="shared" si="20"/>
        <v>173570.35</v>
      </c>
      <c r="AD8" s="326">
        <f t="shared" ref="AD8:AE8" si="21">SUM(AD9:AD14)</f>
        <v>133210.03750000001</v>
      </c>
      <c r="AE8" s="327">
        <f t="shared" si="21"/>
        <v>520822.02500000002</v>
      </c>
    </row>
    <row r="9" spans="2:31" x14ac:dyDescent="0.2">
      <c r="B9" s="100" t="s">
        <v>50</v>
      </c>
      <c r="C9" s="135"/>
      <c r="D9" s="101"/>
      <c r="E9" s="72"/>
      <c r="F9" s="72"/>
      <c r="G9" s="72"/>
      <c r="H9" s="72"/>
      <c r="I9" s="72"/>
      <c r="J9" s="72"/>
      <c r="K9" s="72"/>
      <c r="L9" s="72"/>
      <c r="M9" s="72"/>
      <c r="N9" s="72"/>
      <c r="O9" s="102"/>
      <c r="P9" s="328">
        <f t="shared" ref="P9:P14" si="22">SUM(D9:O9)</f>
        <v>0</v>
      </c>
      <c r="Q9" s="68"/>
      <c r="T9" s="69"/>
      <c r="U9" s="328">
        <f>SUM(Q9:T9)</f>
        <v>0</v>
      </c>
      <c r="V9" s="68"/>
      <c r="Y9" s="69"/>
      <c r="Z9" s="328">
        <f>SUM(V9:Y9)</f>
        <v>0</v>
      </c>
      <c r="AA9" s="68"/>
      <c r="AD9" s="69"/>
      <c r="AE9" s="328">
        <f>SUM(AA9:AD9)</f>
        <v>0</v>
      </c>
    </row>
    <row r="10" spans="2:31" x14ac:dyDescent="0.2">
      <c r="B10" s="100" t="s">
        <v>3</v>
      </c>
      <c r="C10" s="135"/>
      <c r="D10" s="72">
        <f>'2 Investit- und Personalplanung'!$H$14/12</f>
        <v>0</v>
      </c>
      <c r="E10" s="72">
        <f>'2 Investit- und Personalplanung'!$H$14/12</f>
        <v>0</v>
      </c>
      <c r="F10" s="72">
        <f>'2 Investit- und Personalplanung'!$H$14/12</f>
        <v>0</v>
      </c>
      <c r="G10" s="72">
        <f>'2 Investit- und Personalplanung'!$H$14/12</f>
        <v>0</v>
      </c>
      <c r="H10" s="72">
        <f>'2 Investit- und Personalplanung'!$H$14/12</f>
        <v>0</v>
      </c>
      <c r="I10" s="72">
        <f>'2 Investit- und Personalplanung'!$H$14/12</f>
        <v>0</v>
      </c>
      <c r="J10" s="72">
        <f>'2 Investit- und Personalplanung'!$H$14/12</f>
        <v>0</v>
      </c>
      <c r="K10" s="72">
        <f>'2 Investit- und Personalplanung'!$H$14/12</f>
        <v>0</v>
      </c>
      <c r="L10" s="72">
        <f>'2 Investit- und Personalplanung'!$H$14/12</f>
        <v>0</v>
      </c>
      <c r="M10" s="72">
        <f>'2 Investit- und Personalplanung'!$H$14/12</f>
        <v>0</v>
      </c>
      <c r="N10" s="72">
        <f>'2 Investit- und Personalplanung'!$H$14/12</f>
        <v>0</v>
      </c>
      <c r="O10" s="72">
        <f>'2 Investit- und Personalplanung'!$H$14/12</f>
        <v>0</v>
      </c>
      <c r="P10" s="328">
        <f t="shared" si="22"/>
        <v>0</v>
      </c>
      <c r="Q10" s="72">
        <f>'2 Investit- und Personalplanung'!$J$39/4</f>
        <v>36300</v>
      </c>
      <c r="R10" s="72">
        <f>'2 Investit- und Personalplanung'!$J$39/4</f>
        <v>36300</v>
      </c>
      <c r="S10" s="72">
        <f>'2 Investit- und Personalplanung'!$J$39/4</f>
        <v>36300</v>
      </c>
      <c r="T10" s="72">
        <f>'2 Investit- und Personalplanung'!$J$39/4</f>
        <v>36300</v>
      </c>
      <c r="U10" s="328">
        <f t="shared" ref="U10:U16" si="23">SUM(Q10:T10)</f>
        <v>145200</v>
      </c>
      <c r="V10" s="72">
        <f>'2 Investit- und Personalplanung'!$L$39/4</f>
        <v>49731</v>
      </c>
      <c r="W10" s="72">
        <f>'2 Investit- und Personalplanung'!$L$39/4</f>
        <v>49731</v>
      </c>
      <c r="X10" s="72">
        <f>'2 Investit- und Personalplanung'!$L$39/4</f>
        <v>49731</v>
      </c>
      <c r="Y10" s="72">
        <f>'2 Investit- und Personalplanung'!$L$39/4</f>
        <v>49731</v>
      </c>
      <c r="Z10" s="328">
        <f t="shared" ref="Z10:Z16" si="24">SUM(V10:Y10)</f>
        <v>198924</v>
      </c>
      <c r="AA10" s="72">
        <f>'2 Investit- und Personalplanung'!$N$39/4</f>
        <v>59483.6</v>
      </c>
      <c r="AB10" s="72">
        <f>'2 Investit- und Personalplanung'!$N$39/4</f>
        <v>59483.6</v>
      </c>
      <c r="AC10" s="72">
        <f>'2 Investit- und Personalplanung'!$N$39/4</f>
        <v>59483.6</v>
      </c>
      <c r="AD10" s="72">
        <f>'2 Investit- und Personalplanung'!$N$39/4</f>
        <v>59483.6</v>
      </c>
      <c r="AE10" s="328">
        <f t="shared" ref="AE10:AE14" si="25">SUM(AA10:AD10)</f>
        <v>237934.4</v>
      </c>
    </row>
    <row r="11" spans="2:31" x14ac:dyDescent="0.2">
      <c r="B11" s="100" t="s">
        <v>51</v>
      </c>
      <c r="C11" s="135"/>
      <c r="D11" s="329">
        <f>'2 Investit- und Personalplanung'!$C$39+'3 GuV - Cashflow'!C15</f>
        <v>150</v>
      </c>
      <c r="E11" s="330">
        <f>'2 Investit- und Personalplanung'!$C$39+'3 GuV - Cashflow'!D15</f>
        <v>150</v>
      </c>
      <c r="F11" s="330">
        <f>'2 Investit- und Personalplanung'!$C$39+'3 GuV - Cashflow'!E15</f>
        <v>252</v>
      </c>
      <c r="G11" s="330">
        <f>'2 Investit- und Personalplanung'!$C$39+'3 GuV - Cashflow'!F15</f>
        <v>252</v>
      </c>
      <c r="H11" s="330">
        <f>'2 Investit- und Personalplanung'!$C$39+'3 GuV - Cashflow'!G15</f>
        <v>252</v>
      </c>
      <c r="I11" s="330">
        <f>'2 Investit- und Personalplanung'!$C$39+'3 GuV - Cashflow'!H15</f>
        <v>252</v>
      </c>
      <c r="J11" s="330">
        <f>'2 Investit- und Personalplanung'!$C$39+'3 GuV - Cashflow'!I15</f>
        <v>252</v>
      </c>
      <c r="K11" s="330">
        <f>'2 Investit- und Personalplanung'!$C$39+'3 GuV - Cashflow'!J15</f>
        <v>252</v>
      </c>
      <c r="L11" s="330">
        <f>'2 Investit- und Personalplanung'!$C$39+'3 GuV - Cashflow'!K15</f>
        <v>252</v>
      </c>
      <c r="M11" s="330">
        <f>'2 Investit- und Personalplanung'!$C$39+'3 GuV - Cashflow'!L15</f>
        <v>252</v>
      </c>
      <c r="N11" s="330">
        <f>'2 Investit- und Personalplanung'!$C$39+'3 GuV - Cashflow'!M15</f>
        <v>252</v>
      </c>
      <c r="O11" s="330">
        <f>'2 Investit- und Personalplanung'!$C$39+'3 GuV - Cashflow'!N15</f>
        <v>252</v>
      </c>
      <c r="P11" s="328">
        <f>SUM(D11:O11)</f>
        <v>2820</v>
      </c>
      <c r="Q11" s="329">
        <f>'2 Investit- und Personalplanung'!$C$39+'3 GuV - Cashflow'!P15</f>
        <v>558</v>
      </c>
      <c r="R11" s="330">
        <f>'2 Investit- und Personalplanung'!$C$39+'3 GuV - Cashflow'!Q15</f>
        <v>762</v>
      </c>
      <c r="S11" s="330">
        <f>'2 Investit- und Personalplanung'!$C$39+'3 GuV - Cashflow'!R15</f>
        <v>1272</v>
      </c>
      <c r="T11" s="330">
        <f>'2 Investit- und Personalplanung'!$C$39+'3 GuV - Cashflow'!S15</f>
        <v>1629</v>
      </c>
      <c r="U11" s="328">
        <f t="shared" si="23"/>
        <v>4221</v>
      </c>
      <c r="V11" s="330">
        <f>'2 Investit- und Personalplanung'!$C$39+'3 GuV - Cashflow'!U15</f>
        <v>4179</v>
      </c>
      <c r="W11" s="330">
        <f>'2 Investit- und Personalplanung'!$C$39+'3 GuV - Cashflow'!V15</f>
        <v>4587</v>
      </c>
      <c r="X11" s="330">
        <f>'2 Investit- und Personalplanung'!$C$39+'3 GuV - Cashflow'!W15</f>
        <v>5352</v>
      </c>
      <c r="Y11" s="330">
        <f>'2 Investit- und Personalplanung'!$C$39+'3 GuV - Cashflow'!X15</f>
        <v>5964</v>
      </c>
      <c r="Z11" s="328">
        <f t="shared" si="24"/>
        <v>20082</v>
      </c>
      <c r="AA11" s="330">
        <f>'2 Investit- und Personalplanung'!$C$39+'3 GuV - Cashflow'!Z15</f>
        <v>19836</v>
      </c>
      <c r="AB11" s="330">
        <f>'2 Investit- und Personalplanung'!$C$39+'3 GuV - Cashflow'!AA15</f>
        <v>20040</v>
      </c>
      <c r="AC11" s="330">
        <f>'2 Investit- und Personalplanung'!$C$39+'3 GuV - Cashflow'!AB15</f>
        <v>20958</v>
      </c>
      <c r="AD11" s="330">
        <f>'2 Investit- und Personalplanung'!$C$39+'3 GuV - Cashflow'!AC15</f>
        <v>21468</v>
      </c>
      <c r="AE11" s="328">
        <f t="shared" si="25"/>
        <v>82302</v>
      </c>
    </row>
    <row r="12" spans="2:31" x14ac:dyDescent="0.2">
      <c r="B12" s="100" t="s">
        <v>52</v>
      </c>
      <c r="C12" s="135"/>
      <c r="D12" s="329">
        <f>'2 Investit- und Personalplanung'!C27</f>
        <v>32123</v>
      </c>
      <c r="E12" s="330">
        <v>0</v>
      </c>
      <c r="F12" s="330">
        <f>'3 GuV - Cashflow'!E43</f>
        <v>20340</v>
      </c>
      <c r="G12" s="330">
        <v>0</v>
      </c>
      <c r="H12" s="330">
        <v>0</v>
      </c>
      <c r="I12" s="330">
        <v>0</v>
      </c>
      <c r="J12" s="330">
        <v>0</v>
      </c>
      <c r="K12" s="330">
        <v>0</v>
      </c>
      <c r="L12" s="330">
        <v>0</v>
      </c>
      <c r="M12" s="330">
        <v>0</v>
      </c>
      <c r="N12" s="330">
        <v>0</v>
      </c>
      <c r="O12" s="331">
        <v>0</v>
      </c>
      <c r="P12" s="328">
        <f>SUM(D12:O12)</f>
        <v>52463</v>
      </c>
      <c r="Q12" s="330">
        <f>'3 GuV - Cashflow'!P43</f>
        <v>37100</v>
      </c>
      <c r="R12" s="330">
        <f>'3 GuV - Cashflow'!Q43</f>
        <v>19475</v>
      </c>
      <c r="S12" s="330">
        <f>'3 GuV - Cashflow'!R43</f>
        <v>48935</v>
      </c>
      <c r="T12" s="330">
        <f>'3 GuV - Cashflow'!S43</f>
        <v>34205</v>
      </c>
      <c r="U12" s="328">
        <f t="shared" si="23"/>
        <v>139715</v>
      </c>
      <c r="V12" s="330">
        <f>'3 GuV - Cashflow'!U43</f>
        <v>35745</v>
      </c>
      <c r="W12" s="330">
        <f>'3 GuV - Cashflow'!V43</f>
        <v>37100</v>
      </c>
      <c r="X12" s="330">
        <f>'3 GuV - Cashflow'!W43</f>
        <v>71305</v>
      </c>
      <c r="Y12" s="330">
        <f>'3 GuV - Cashflow'!X43</f>
        <v>56575</v>
      </c>
      <c r="Z12" s="328">
        <f t="shared" si="24"/>
        <v>200725</v>
      </c>
      <c r="AA12" s="330">
        <f>'3 GuV - Cashflow'!Z43</f>
        <v>19475</v>
      </c>
      <c r="AB12" s="330">
        <f>'3 GuV - Cashflow'!AA43</f>
        <v>21325</v>
      </c>
      <c r="AC12" s="330">
        <f>'3 GuV - Cashflow'!AB43</f>
        <v>86035</v>
      </c>
      <c r="AD12" s="330">
        <f>'3 GuV - Cashflow'!AC43</f>
        <v>45235</v>
      </c>
      <c r="AE12" s="328">
        <f t="shared" si="25"/>
        <v>172070</v>
      </c>
    </row>
    <row r="13" spans="2:31" x14ac:dyDescent="0.2">
      <c r="B13" s="100" t="s">
        <v>53</v>
      </c>
      <c r="C13" s="135"/>
      <c r="D13" s="101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102"/>
      <c r="P13" s="328">
        <f t="shared" si="22"/>
        <v>0</v>
      </c>
      <c r="Q13" s="68"/>
      <c r="S13" s="330">
        <f>($S$7*0.045)/4</f>
        <v>1125</v>
      </c>
      <c r="T13" s="330">
        <f>($S$7*0.045)/4</f>
        <v>1125</v>
      </c>
      <c r="U13" s="328">
        <f t="shared" si="23"/>
        <v>2250</v>
      </c>
      <c r="V13" s="330">
        <f>($S$7*0.045)/4</f>
        <v>1125</v>
      </c>
      <c r="W13" s="330">
        <f>($S$7*0.045)/4</f>
        <v>1125</v>
      </c>
      <c r="X13" s="330">
        <f>C22+C24</f>
        <v>7375</v>
      </c>
      <c r="Y13" s="330">
        <f>(S7-C22)*0.045/4+C22</f>
        <v>7304.6875</v>
      </c>
      <c r="Z13" s="328">
        <f t="shared" si="24"/>
        <v>16929.6875</v>
      </c>
      <c r="AA13" s="330">
        <f>(S7-C22*2)*0.045/4+C22</f>
        <v>7234.375</v>
      </c>
      <c r="AB13" s="330">
        <f>($S$7-$C$22*3)*0.045/4+$C$22</f>
        <v>7164.0625</v>
      </c>
      <c r="AC13" s="330">
        <f>($S$7-$C$22*4)*0.045/4+$C$22</f>
        <v>7093.75</v>
      </c>
      <c r="AD13" s="330">
        <f>($S$7-$C$22*5)*0.045/4+$C$22</f>
        <v>7023.4375</v>
      </c>
      <c r="AE13" s="328">
        <f t="shared" si="25"/>
        <v>28515.625</v>
      </c>
    </row>
    <row r="14" spans="2:31" x14ac:dyDescent="0.2">
      <c r="B14" s="115" t="s">
        <v>54</v>
      </c>
      <c r="C14" s="137"/>
      <c r="D14" s="101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102"/>
      <c r="P14" s="328">
        <f t="shared" si="22"/>
        <v>0</v>
      </c>
      <c r="Q14" s="68"/>
      <c r="T14" s="69"/>
      <c r="U14" s="328">
        <f t="shared" si="23"/>
        <v>0</v>
      </c>
      <c r="V14" s="68"/>
      <c r="Y14" s="69"/>
      <c r="Z14" s="328">
        <f t="shared" si="24"/>
        <v>0</v>
      </c>
      <c r="AA14" s="68"/>
      <c r="AD14" s="69"/>
      <c r="AE14" s="328">
        <f t="shared" si="25"/>
        <v>0</v>
      </c>
    </row>
    <row r="15" spans="2:31" x14ac:dyDescent="0.2">
      <c r="B15" s="99" t="s">
        <v>55</v>
      </c>
      <c r="C15" s="136"/>
      <c r="D15" s="324">
        <f>D5-D8</f>
        <v>67727</v>
      </c>
      <c r="E15" s="325">
        <f t="shared" ref="E15:Y15" si="26">E5-E8</f>
        <v>-150</v>
      </c>
      <c r="F15" s="325">
        <f t="shared" si="26"/>
        <v>-20592</v>
      </c>
      <c r="G15" s="325">
        <f t="shared" si="26"/>
        <v>-252</v>
      </c>
      <c r="H15" s="325">
        <f t="shared" si="26"/>
        <v>-252</v>
      </c>
      <c r="I15" s="325">
        <f t="shared" si="26"/>
        <v>29748</v>
      </c>
      <c r="J15" s="325">
        <f t="shared" si="26"/>
        <v>-252</v>
      </c>
      <c r="K15" s="325">
        <f t="shared" si="26"/>
        <v>-252</v>
      </c>
      <c r="L15" s="325">
        <f t="shared" si="26"/>
        <v>-252</v>
      </c>
      <c r="M15" s="325">
        <f t="shared" si="26"/>
        <v>-252</v>
      </c>
      <c r="N15" s="325">
        <f t="shared" si="26"/>
        <v>-252</v>
      </c>
      <c r="O15" s="326">
        <f t="shared" si="26"/>
        <v>-252</v>
      </c>
      <c r="P15" s="327">
        <f t="shared" si="26"/>
        <v>74717</v>
      </c>
      <c r="Q15" s="324">
        <f t="shared" si="26"/>
        <v>-25216</v>
      </c>
      <c r="R15" s="325">
        <f t="shared" si="26"/>
        <v>-28319</v>
      </c>
      <c r="S15" s="325">
        <f t="shared" si="26"/>
        <v>80616</v>
      </c>
      <c r="T15" s="326">
        <f t="shared" si="26"/>
        <v>-20908</v>
      </c>
      <c r="U15" s="327">
        <f t="shared" si="26"/>
        <v>6173</v>
      </c>
      <c r="V15" s="324">
        <f t="shared" si="26"/>
        <v>-19909</v>
      </c>
      <c r="W15" s="325">
        <f t="shared" si="26"/>
        <v>-17330</v>
      </c>
      <c r="X15" s="325">
        <f t="shared" si="26"/>
        <v>-11005</v>
      </c>
      <c r="Y15" s="326">
        <f t="shared" si="26"/>
        <v>-11098.6875</v>
      </c>
      <c r="Z15" s="327">
        <f t="shared" ref="Z15:AD15" si="27">Z5-Z8</f>
        <v>-59342.6875</v>
      </c>
      <c r="AA15" s="324">
        <f t="shared" si="27"/>
        <v>47465.024999999994</v>
      </c>
      <c r="AB15" s="325">
        <f t="shared" si="27"/>
        <v>49267.337499999994</v>
      </c>
      <c r="AC15" s="325">
        <f t="shared" si="27"/>
        <v>70181.649999999994</v>
      </c>
      <c r="AD15" s="326">
        <f t="shared" si="27"/>
        <v>63051.962499999994</v>
      </c>
      <c r="AE15" s="327">
        <f t="shared" ref="AE15" si="28">AE5-AE8</f>
        <v>229965.97499999998</v>
      </c>
    </row>
    <row r="16" spans="2:31" x14ac:dyDescent="0.2">
      <c r="B16" s="100" t="s">
        <v>56</v>
      </c>
      <c r="C16" s="105"/>
      <c r="D16" s="103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5"/>
      <c r="P16" s="332">
        <f>SUM(D16:O16)</f>
        <v>0</v>
      </c>
      <c r="Q16" s="106"/>
      <c r="R16" s="107"/>
      <c r="S16" s="107"/>
      <c r="T16" s="108"/>
      <c r="U16" s="332">
        <f t="shared" si="23"/>
        <v>0</v>
      </c>
      <c r="V16" s="106"/>
      <c r="W16" s="107"/>
      <c r="X16" s="107"/>
      <c r="Y16" s="108"/>
      <c r="Z16" s="332">
        <f t="shared" si="24"/>
        <v>0</v>
      </c>
      <c r="AA16" s="106"/>
      <c r="AB16" s="107"/>
      <c r="AC16" s="107"/>
      <c r="AD16" s="108"/>
      <c r="AE16" s="332">
        <f t="shared" ref="AE16" si="29">SUM(AA16:AD16)</f>
        <v>0</v>
      </c>
    </row>
    <row r="17" spans="2:31" x14ac:dyDescent="0.2">
      <c r="AD17" s="48"/>
      <c r="AE17" s="48"/>
    </row>
    <row r="18" spans="2:31" x14ac:dyDescent="0.2">
      <c r="D18" s="162"/>
      <c r="AD18" s="48"/>
      <c r="AE18" s="48"/>
    </row>
    <row r="20" spans="2:31" x14ac:dyDescent="0.2">
      <c r="B20" s="44" t="s">
        <v>295</v>
      </c>
    </row>
    <row r="21" spans="2:31" x14ac:dyDescent="0.2">
      <c r="B21" s="44" t="s">
        <v>296</v>
      </c>
    </row>
    <row r="22" spans="2:31" x14ac:dyDescent="0.2">
      <c r="C22" s="44">
        <f>100000/16</f>
        <v>6250</v>
      </c>
    </row>
    <row r="24" spans="2:31" ht="34" x14ac:dyDescent="0.2">
      <c r="B24" s="275" t="s">
        <v>297</v>
      </c>
      <c r="C24" s="44">
        <f>100000*0.045/4</f>
        <v>1125</v>
      </c>
    </row>
  </sheetData>
  <phoneticPr fontId="4" type="noConversion"/>
  <pageMargins left="0.7" right="0.7" top="0.75" bottom="0.75" header="0.3" footer="0.3"/>
  <pageSetup paperSize="9" orientation="portrait" horizontalDpi="0" verticalDpi="0"/>
  <ignoredErrors>
    <ignoredError sqref="E8:O8" formulaRange="1"/>
    <ignoredError sqref="P8 P16" formula="1" formulaRange="1"/>
    <ignoredError sqref="U8 Z8 U15:Z15 Q16:Z16 P15:T15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C691-B056-C449-9BB1-FBD7D1283283}">
  <dimension ref="B2:K22"/>
  <sheetViews>
    <sheetView showGridLines="0" zoomScaleNormal="100" workbookViewId="0">
      <selection activeCell="H8" sqref="H8"/>
    </sheetView>
  </sheetViews>
  <sheetFormatPr baseColWidth="10" defaultColWidth="11" defaultRowHeight="16" x14ac:dyDescent="0.2"/>
  <cols>
    <col min="1" max="1" width="2.6640625" style="44" customWidth="1"/>
    <col min="2" max="2" width="33.6640625" style="44" customWidth="1"/>
    <col min="3" max="7" width="16.6640625" style="44" customWidth="1"/>
    <col min="8" max="8" width="14.5" style="44" customWidth="1"/>
    <col min="9" max="16384" width="11" style="44"/>
  </cols>
  <sheetData>
    <row r="2" spans="2:11" ht="33" x14ac:dyDescent="0.35">
      <c r="B2" s="98" t="s">
        <v>202</v>
      </c>
      <c r="C2" s="138"/>
      <c r="J2" s="162"/>
      <c r="K2" s="162"/>
    </row>
    <row r="3" spans="2:11" x14ac:dyDescent="0.2">
      <c r="J3" s="162"/>
      <c r="K3" s="162"/>
    </row>
    <row r="4" spans="2:11" ht="34" customHeight="1" thickBot="1" x14ac:dyDescent="0.25">
      <c r="B4" s="248" t="s">
        <v>182</v>
      </c>
      <c r="C4" s="248" t="s">
        <v>191</v>
      </c>
      <c r="D4" s="248" t="s">
        <v>192</v>
      </c>
      <c r="E4" s="248" t="s">
        <v>193</v>
      </c>
      <c r="F4" s="248" t="s">
        <v>194</v>
      </c>
      <c r="G4" s="248" t="s">
        <v>195</v>
      </c>
      <c r="H4" s="248" t="s">
        <v>196</v>
      </c>
      <c r="J4" s="162"/>
      <c r="K4" s="162"/>
    </row>
    <row r="5" spans="2:11" ht="17" thickTop="1" x14ac:dyDescent="0.2">
      <c r="B5" s="225" t="s">
        <v>183</v>
      </c>
      <c r="C5" s="226">
        <f>IF($C$31=0,0,D5/$C$31)</f>
        <v>0</v>
      </c>
      <c r="D5" s="238">
        <v>100000</v>
      </c>
      <c r="E5" s="170"/>
      <c r="F5" s="227"/>
      <c r="G5" s="170"/>
      <c r="H5" s="228"/>
      <c r="J5" s="162"/>
      <c r="K5" s="162"/>
    </row>
    <row r="6" spans="2:11" ht="51" x14ac:dyDescent="0.2">
      <c r="B6" s="229" t="s">
        <v>298</v>
      </c>
      <c r="C6" s="230">
        <f>IF($C$31=0,0,D6/$C$31)</f>
        <v>0</v>
      </c>
      <c r="D6" s="235">
        <f>'5 Liquiditätsplanung'!I7</f>
        <v>30000</v>
      </c>
      <c r="E6" s="168"/>
      <c r="F6" s="168"/>
      <c r="G6" s="168"/>
      <c r="H6" s="333" t="s">
        <v>299</v>
      </c>
      <c r="J6" s="162"/>
      <c r="K6" s="162"/>
    </row>
    <row r="7" spans="2:11" x14ac:dyDescent="0.2">
      <c r="B7" s="229" t="s">
        <v>184</v>
      </c>
      <c r="C7" s="230"/>
      <c r="D7" s="168"/>
      <c r="E7" s="168"/>
      <c r="F7" s="168"/>
      <c r="G7" s="168"/>
      <c r="H7" s="231"/>
      <c r="J7" s="162"/>
      <c r="K7" s="162"/>
    </row>
    <row r="8" spans="2:11" x14ac:dyDescent="0.2">
      <c r="B8" s="246" t="s">
        <v>185</v>
      </c>
      <c r="C8" s="230">
        <f t="shared" ref="C8:C13" si="0">IF($C$31=0,0,D8/$C$31)</f>
        <v>0</v>
      </c>
      <c r="D8" s="235">
        <v>100000</v>
      </c>
      <c r="E8" s="236">
        <v>4.4999999999999998E-2</v>
      </c>
      <c r="F8" s="237">
        <v>48</v>
      </c>
      <c r="G8" s="232">
        <f>PMT(E8/12,F8,-D8)</f>
        <v>2280.3486077431257</v>
      </c>
      <c r="H8" s="231"/>
      <c r="J8" s="162"/>
      <c r="K8" s="162"/>
    </row>
    <row r="9" spans="2:11" x14ac:dyDescent="0.2">
      <c r="B9" s="246" t="s">
        <v>186</v>
      </c>
      <c r="C9" s="230">
        <f t="shared" si="0"/>
        <v>0</v>
      </c>
      <c r="D9" s="235">
        <v>0</v>
      </c>
      <c r="E9" s="236"/>
      <c r="F9" s="237"/>
      <c r="G9" s="232" t="e">
        <f>PMT(E9/12,F9,-D9)</f>
        <v>#NUM!</v>
      </c>
      <c r="H9" s="231"/>
      <c r="J9" s="162"/>
      <c r="K9" s="162"/>
    </row>
    <row r="10" spans="2:11" x14ac:dyDescent="0.2">
      <c r="B10" s="246" t="s">
        <v>187</v>
      </c>
      <c r="C10" s="230">
        <f t="shared" si="0"/>
        <v>0</v>
      </c>
      <c r="D10" s="235">
        <v>0</v>
      </c>
      <c r="E10" s="236"/>
      <c r="F10" s="237"/>
      <c r="G10" s="232" t="e">
        <f>PMT(E10/12,F10,-D10)</f>
        <v>#NUM!</v>
      </c>
      <c r="H10" s="231"/>
      <c r="J10" s="162"/>
      <c r="K10" s="162"/>
    </row>
    <row r="11" spans="2:11" x14ac:dyDescent="0.2">
      <c r="B11" s="246" t="s">
        <v>188</v>
      </c>
      <c r="C11" s="230">
        <f t="shared" si="0"/>
        <v>0</v>
      </c>
      <c r="D11" s="235">
        <v>0</v>
      </c>
      <c r="E11" s="236"/>
      <c r="F11" s="237"/>
      <c r="G11" s="232" t="e">
        <f>PMT(E11/12,F11,-D11)</f>
        <v>#NUM!</v>
      </c>
      <c r="H11" s="231"/>
      <c r="J11" s="162"/>
      <c r="K11" s="162"/>
    </row>
    <row r="12" spans="2:11" x14ac:dyDescent="0.2">
      <c r="B12" s="246" t="s">
        <v>189</v>
      </c>
      <c r="C12" s="230">
        <f t="shared" si="0"/>
        <v>0</v>
      </c>
      <c r="D12" s="235">
        <v>0</v>
      </c>
      <c r="E12" s="236"/>
      <c r="F12" s="237"/>
      <c r="G12" s="232" t="e">
        <f>PMT(E12/12,F12,-D12)</f>
        <v>#NUM!</v>
      </c>
      <c r="H12" s="233"/>
      <c r="J12" s="162"/>
      <c r="K12" s="162"/>
    </row>
    <row r="13" spans="2:11" x14ac:dyDescent="0.2">
      <c r="B13" s="229" t="s">
        <v>190</v>
      </c>
      <c r="C13" s="234">
        <f t="shared" si="0"/>
        <v>0</v>
      </c>
      <c r="D13" s="176">
        <f>SUM(D5:D12)</f>
        <v>230000</v>
      </c>
      <c r="G13" s="239" t="e">
        <f>SUM(G8:G12)</f>
        <v>#NUM!</v>
      </c>
      <c r="H13" s="231"/>
      <c r="J13" s="162"/>
      <c r="K13" s="162"/>
    </row>
    <row r="14" spans="2:11" x14ac:dyDescent="0.2">
      <c r="B14" s="355" t="str">
        <f>IF($D$13&lt;'2 Investit- und Personalplanung'!$C$27,"Sie benötigen mehr Finanzierung","Sie sind ausreichend finanziert")</f>
        <v>Sie sind ausreichend finanziert</v>
      </c>
      <c r="C14" s="356"/>
      <c r="D14" s="356"/>
      <c r="E14" s="356"/>
      <c r="F14" s="356"/>
      <c r="G14" s="356"/>
      <c r="H14" s="357"/>
      <c r="J14" s="162"/>
      <c r="K14" s="162"/>
    </row>
    <row r="16" spans="2:11" x14ac:dyDescent="0.2">
      <c r="B16" s="79" t="s">
        <v>206</v>
      </c>
    </row>
    <row r="17" spans="10:11" x14ac:dyDescent="0.2">
      <c r="J17" s="162"/>
      <c r="K17" s="162"/>
    </row>
    <row r="18" spans="10:11" x14ac:dyDescent="0.2">
      <c r="J18" s="162"/>
      <c r="K18" s="162"/>
    </row>
    <row r="19" spans="10:11" x14ac:dyDescent="0.2">
      <c r="J19" s="162"/>
      <c r="K19" s="162"/>
    </row>
    <row r="20" spans="10:11" x14ac:dyDescent="0.2">
      <c r="J20" s="162"/>
      <c r="K20" s="162"/>
    </row>
    <row r="21" spans="10:11" x14ac:dyDescent="0.2">
      <c r="J21" s="162"/>
      <c r="K21" s="162"/>
    </row>
    <row r="22" spans="10:11" x14ac:dyDescent="0.2">
      <c r="J22" s="162"/>
      <c r="K22" s="162"/>
    </row>
  </sheetData>
  <mergeCells count="1">
    <mergeCell ref="B14:H14"/>
  </mergeCells>
  <conditionalFormatting sqref="B14">
    <cfRule type="containsText" dxfId="2" priority="1" operator="containsText" text="ausreichend">
      <formula>NOT(ISERROR(SEARCH("ausreichend",B14)))</formula>
    </cfRule>
    <cfRule type="containsText" dxfId="1" priority="2" operator="containsText" text="benötigen">
      <formula>NOT(ISERROR(SEARCH("benötigen",B14)))</formula>
    </cfRule>
  </conditionalFormatting>
  <conditionalFormatting sqref="D5:D6 D8:D12">
    <cfRule type="containsBlanks" dxfId="0" priority="7">
      <formula>LEN(TRIM(D5))=0</formula>
    </cfRule>
  </conditionalFormatting>
  <pageMargins left="0.7" right="0.7" top="0.78740157499999996" bottom="0.78740157499999996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121F-D18B-AD45-94EE-914C5165D938}">
  <dimension ref="B2:AE39"/>
  <sheetViews>
    <sheetView showGridLines="0" topLeftCell="A10" zoomScaleNormal="100" workbookViewId="0">
      <selection activeCell="G36" sqref="G36"/>
    </sheetView>
  </sheetViews>
  <sheetFormatPr baseColWidth="10" defaultColWidth="10.83203125" defaultRowHeight="16" outlineLevelCol="1" x14ac:dyDescent="0.2"/>
  <cols>
    <col min="1" max="1" width="2.6640625" style="44" customWidth="1"/>
    <col min="2" max="2" width="3.83203125" style="44" customWidth="1"/>
    <col min="3" max="3" width="32.83203125" style="44" customWidth="1"/>
    <col min="4" max="15" width="10.83203125" style="44" customWidth="1" outlineLevel="1"/>
    <col min="16" max="16" width="10.83203125" style="44"/>
    <col min="17" max="20" width="10.83203125" style="44" customWidth="1" outlineLevel="1"/>
    <col min="21" max="21" width="10.83203125" style="44"/>
    <col min="22" max="25" width="10.83203125" style="44" customWidth="1" outlineLevel="1"/>
    <col min="26" max="16384" width="10.83203125" style="44"/>
  </cols>
  <sheetData>
    <row r="2" spans="2:31" ht="33" x14ac:dyDescent="0.35">
      <c r="B2" s="90" t="s">
        <v>197</v>
      </c>
    </row>
    <row r="3" spans="2:31" x14ac:dyDescent="0.2">
      <c r="B3" s="45" t="s">
        <v>198</v>
      </c>
    </row>
    <row r="5" spans="2:31" ht="16" customHeight="1" x14ac:dyDescent="0.2">
      <c r="B5" s="116" t="s">
        <v>200</v>
      </c>
      <c r="C5" s="1"/>
      <c r="D5" s="1"/>
      <c r="E5" s="1"/>
      <c r="F5" s="1"/>
      <c r="G5" s="1"/>
      <c r="H5" s="1"/>
      <c r="I5" s="1"/>
      <c r="J5" s="1"/>
    </row>
    <row r="6" spans="2:31" ht="16" customHeight="1" x14ac:dyDescent="0.2">
      <c r="B6" s="25"/>
      <c r="C6" s="22"/>
      <c r="D6" s="46" t="s">
        <v>88</v>
      </c>
      <c r="E6" s="46" t="s">
        <v>89</v>
      </c>
      <c r="F6" s="46" t="s">
        <v>90</v>
      </c>
      <c r="G6" s="46" t="s">
        <v>91</v>
      </c>
      <c r="H6" s="46" t="s">
        <v>92</v>
      </c>
      <c r="I6" s="46" t="s">
        <v>93</v>
      </c>
      <c r="J6" s="46" t="s">
        <v>94</v>
      </c>
      <c r="K6" s="46" t="s">
        <v>95</v>
      </c>
      <c r="L6" s="46" t="s">
        <v>96</v>
      </c>
      <c r="M6" s="46" t="s">
        <v>97</v>
      </c>
      <c r="N6" s="46" t="s">
        <v>98</v>
      </c>
      <c r="O6" s="46" t="s">
        <v>99</v>
      </c>
      <c r="P6" s="27" t="s">
        <v>100</v>
      </c>
      <c r="Q6" s="46" t="s">
        <v>101</v>
      </c>
      <c r="R6" s="46" t="s">
        <v>102</v>
      </c>
      <c r="S6" s="46" t="s">
        <v>103</v>
      </c>
      <c r="T6" s="46" t="s">
        <v>104</v>
      </c>
      <c r="U6" s="27" t="s">
        <v>105</v>
      </c>
      <c r="V6" s="47" t="s">
        <v>106</v>
      </c>
      <c r="W6" s="47" t="s">
        <v>107</v>
      </c>
      <c r="X6" s="47" t="s">
        <v>108</v>
      </c>
      <c r="Y6" s="47" t="s">
        <v>109</v>
      </c>
      <c r="Z6" s="4" t="s">
        <v>110</v>
      </c>
      <c r="AA6" s="47" t="s">
        <v>249</v>
      </c>
      <c r="AB6" s="47" t="s">
        <v>250</v>
      </c>
      <c r="AC6" s="47" t="s">
        <v>251</v>
      </c>
      <c r="AD6" s="47" t="s">
        <v>252</v>
      </c>
      <c r="AE6" s="4" t="s">
        <v>248</v>
      </c>
    </row>
    <row r="7" spans="2:31" ht="16" customHeight="1" x14ac:dyDescent="0.2">
      <c r="B7" s="36" t="s">
        <v>12</v>
      </c>
      <c r="C7" s="11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6"/>
      <c r="Q7" s="15"/>
      <c r="R7" s="15"/>
      <c r="S7" s="15"/>
      <c r="T7" s="15"/>
      <c r="U7" s="6"/>
      <c r="V7" s="15"/>
      <c r="W7" s="15"/>
      <c r="X7" s="15"/>
      <c r="Y7" s="15"/>
      <c r="Z7" s="6"/>
      <c r="AA7" s="15"/>
      <c r="AB7" s="15"/>
      <c r="AC7" s="15"/>
      <c r="AD7" s="15"/>
      <c r="AE7" s="6"/>
    </row>
    <row r="8" spans="2:31" ht="16" customHeight="1" x14ac:dyDescent="0.2">
      <c r="B8" s="24"/>
      <c r="C8" s="111" t="s">
        <v>201</v>
      </c>
      <c r="D8" s="334">
        <f>MAX(0,'2 Investit- und Personalplanung'!C18-SUM('3 GuV - Cashflow'!C18:C18))</f>
        <v>25000</v>
      </c>
      <c r="E8" s="334">
        <f>MAX(0,'2 Investit- und Personalplanung'!C18-SUM('3 GuV - Cashflow'!C18:D18))</f>
        <v>25000</v>
      </c>
      <c r="F8" s="334">
        <f>MAX(0,'2 Investit- und Personalplanung'!C18-SUM('3 GuV - Cashflow'!C18:E18))</f>
        <v>24166.7</v>
      </c>
      <c r="G8" s="334">
        <f>MAX(0,'2 Investit- und Personalplanung'!C18-SUM('3 GuV - Cashflow'!C18:F18))</f>
        <v>23333.4</v>
      </c>
      <c r="H8" s="334">
        <f>MAX(0,'2 Investit- und Personalplanung'!C18-SUM('3 GuV - Cashflow'!C18:G18))</f>
        <v>22500.1</v>
      </c>
      <c r="I8" s="334">
        <f>MAX(0,'2 Investit- und Personalplanung'!C18-SUM('3 GuV - Cashflow'!C18:H18))</f>
        <v>21666.799999999999</v>
      </c>
      <c r="J8" s="334">
        <f>MAX(0,'2 Investit- und Personalplanung'!C18-SUM('3 GuV - Cashflow'!C18:I18))</f>
        <v>20833.5</v>
      </c>
      <c r="K8" s="334">
        <f>MAX(0,'2 Investit- und Personalplanung'!C18-SUM('3 GuV - Cashflow'!C18:J18))</f>
        <v>20000.2</v>
      </c>
      <c r="L8" s="334">
        <f>MAX(0,'2 Investit- und Personalplanung'!C18-SUM('3 GuV - Cashflow'!C18:K18))</f>
        <v>19166.900000000001</v>
      </c>
      <c r="M8" s="334">
        <f>MAX(0,'2 Investit- und Personalplanung'!C18-SUM('3 GuV - Cashflow'!C18:L18))</f>
        <v>18333.599999999999</v>
      </c>
      <c r="N8" s="334">
        <f>MAX(0,'2 Investit- und Personalplanung'!C18-SUM('3 GuV - Cashflow'!C18:M18))</f>
        <v>17500.3</v>
      </c>
      <c r="O8" s="334">
        <f>MAX(0,'2 Investit- und Personalplanung'!C18-SUM('3 GuV - Cashflow'!C18:N18))</f>
        <v>16667</v>
      </c>
      <c r="P8" s="344">
        <f>MAX(0,'2 Investit- und Personalplanung'!C18-SUM('3 GuV - Cashflow'!C18:N18))</f>
        <v>16667</v>
      </c>
      <c r="Q8" s="334">
        <f>MAX(0,'2 Investit- und Personalplanung'!C18-(SUM('3 GuV - Cashflow'!C18:N18)+SUM('3 GuV - Cashflow'!P18:P18)))</f>
        <v>14583.666666666666</v>
      </c>
      <c r="R8" s="334">
        <f>MAX(0,'2 Investit- und Personalplanung'!C18-(SUM('3 GuV - Cashflow'!C18:N18)+SUM('3 GuV - Cashflow'!P18:Q18)))</f>
        <v>12500.333333333332</v>
      </c>
      <c r="S8" s="334">
        <f>MAX(0,'2 Investit- und Personalplanung'!C18-(SUM('3 GuV - Cashflow'!C18:N18)+SUM('3 GuV - Cashflow'!P18:R18)))</f>
        <v>10417</v>
      </c>
      <c r="T8" s="334">
        <f>MAX(0,'2 Investit- und Personalplanung'!C18-(SUM('3 GuV - Cashflow'!C18:N18)+SUM('3 GuV - Cashflow'!P18:S18)))</f>
        <v>8333.6666666666642</v>
      </c>
      <c r="U8" s="344">
        <f>MAX(0,'2 Investit- und Personalplanung'!C18-(SUM('3 GuV - Cashflow'!C18:N18)+SUM('3 GuV - Cashflow'!P18:T18)))</f>
        <v>0.33333333333212067</v>
      </c>
      <c r="V8" s="334">
        <f>MAX(0,'2 Investit- und Personalplanung'!C18-(SUM('3 GuV - Cashflow'!C18:N18)+SUM('3 GuV - Cashflow'!P18:U18)))</f>
        <v>0</v>
      </c>
      <c r="W8" s="334">
        <f>MAX(0,'2 Investit- und Personalplanung'!C18-(SUM('3 GuV - Cashflow'!C18:N18)+SUM('3 GuV - Cashflow'!P18:V18)))</f>
        <v>0</v>
      </c>
      <c r="X8" s="334">
        <f>MAX(0,'2 Investit- und Personalplanung'!C18-(SUM('3 GuV - Cashflow'!C18:N18)+SUM('3 GuV - Cashflow'!P18:W18)))</f>
        <v>0</v>
      </c>
      <c r="Y8" s="334">
        <f>MAX(0,'2 Investit- und Personalplanung'!C18-(SUM('3 GuV - Cashflow'!C18:N18)+SUM('3 GuV - Cashflow'!P18:X18)))</f>
        <v>0</v>
      </c>
      <c r="Z8" s="344">
        <f>MAX(0,'2 Investit- und Personalplanung'!C18-(SUM('3 GuV - Cashflow'!C18:N18)+SUM('3 GuV - Cashflow'!P18:Y18)))</f>
        <v>0</v>
      </c>
      <c r="AA8" s="17"/>
      <c r="AB8" s="17"/>
      <c r="AC8" s="17"/>
      <c r="AD8" s="17"/>
      <c r="AE8" s="18">
        <f>SUM(AA8:AD8)</f>
        <v>0</v>
      </c>
    </row>
    <row r="9" spans="2:31" ht="16" customHeight="1" x14ac:dyDescent="0.2">
      <c r="B9" s="24"/>
      <c r="C9" s="6" t="s">
        <v>13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322">
        <f t="shared" ref="P9:P13" si="0">SUM(D9:O9)</f>
        <v>0</v>
      </c>
      <c r="Q9" s="7"/>
      <c r="R9" s="7"/>
      <c r="S9" s="7"/>
      <c r="T9" s="7"/>
      <c r="U9" s="322">
        <f t="shared" ref="U9:U13" si="1">SUM(Q9:T9)</f>
        <v>0</v>
      </c>
      <c r="V9" s="7"/>
      <c r="W9" s="7"/>
      <c r="X9" s="7"/>
      <c r="Y9" s="7"/>
      <c r="Z9" s="322">
        <f t="shared" ref="Z9:Z13" si="2">SUM(V9:Y9)</f>
        <v>0</v>
      </c>
      <c r="AA9" s="7"/>
      <c r="AB9" s="7"/>
      <c r="AC9" s="7"/>
      <c r="AD9" s="7"/>
      <c r="AE9" s="8">
        <f t="shared" ref="AE9:AE13" si="3">SUM(AA9:AD9)</f>
        <v>0</v>
      </c>
    </row>
    <row r="10" spans="2:31" ht="16" customHeight="1" x14ac:dyDescent="0.2">
      <c r="B10" s="24"/>
      <c r="C10" s="6" t="s">
        <v>14</v>
      </c>
      <c r="D10" s="302">
        <f>MAX(0,'2 Investit- und Personalplanung'!C19-SUM('3 GuV - Cashflow'!C17:C17))</f>
        <v>4861.1111111111113</v>
      </c>
      <c r="E10" s="302">
        <f>MAX(0,'2 Investit- und Personalplanung'!C19-SUM('3 GuV - Cashflow'!C17:D17))</f>
        <v>4722.2222222222226</v>
      </c>
      <c r="F10" s="302">
        <f>MAX(0,'2 Investit- und Personalplanung'!C19-SUM('3 GuV - Cashflow'!C17:E17))</f>
        <v>3905.333333333333</v>
      </c>
      <c r="G10" s="302">
        <f>MAX(0,'2 Investit- und Personalplanung'!C19-SUM('3 GuV - Cashflow'!C17:F17))</f>
        <v>3088.4444444444443</v>
      </c>
      <c r="H10" s="302">
        <f>MAX(0,'2 Investit- und Personalplanung'!C19-SUM('3 GuV - Cashflow'!C17:G17))</f>
        <v>2271.5555555555557</v>
      </c>
      <c r="I10" s="302">
        <f>MAX(0,'2 Investit- und Personalplanung'!C19-SUM('3 GuV - Cashflow'!C17:H17))</f>
        <v>1454.666666666667</v>
      </c>
      <c r="J10" s="302">
        <f>MAX(0,'2 Investit- und Personalplanung'!C19-SUM('3 GuV - Cashflow'!C17:I17))</f>
        <v>637.77777777777828</v>
      </c>
      <c r="K10" s="302">
        <f>MAX(0,'2 Investit- und Personalplanung'!C19-SUM('3 GuV - Cashflow'!C17:J17))</f>
        <v>0</v>
      </c>
      <c r="L10" s="302">
        <f>MAX(0,'2 Investit- und Personalplanung'!C19-SUM('3 GuV - Cashflow'!C17:K17))</f>
        <v>0</v>
      </c>
      <c r="M10" s="302">
        <f>MAX(0,'2 Investit- und Personalplanung'!C19-SUM('3 GuV - Cashflow'!C17:L17))</f>
        <v>0</v>
      </c>
      <c r="N10" s="302">
        <f>MAX(0,'2 Investit- und Personalplanung'!C19-SUM('3 GuV - Cashflow'!C17:M17))</f>
        <v>0</v>
      </c>
      <c r="O10" s="302">
        <f>MAX(0,'2 Investit- und Personalplanung'!C19-SUM('3 GuV - Cashflow'!C17:N17))</f>
        <v>0</v>
      </c>
      <c r="P10" s="322">
        <f>MAX(0,'2 Investit- und Personalplanung'!C19-SUM('3 GuV - Cashflow'!C17:N17))</f>
        <v>0</v>
      </c>
      <c r="Q10" s="302">
        <f>MAX(0,'2 Investit- und Personalplanung'!C19-(SUM('3 GuV - Cashflow'!C17:N17)+SUM('3 GuV - Cashflow'!P17:P17)))</f>
        <v>0</v>
      </c>
      <c r="R10" s="302">
        <f>MAX(0,'2 Investit- und Personalplanung'!C19-(SUM('3 GuV - Cashflow'!C17:N17)+SUM('3 GuV - Cashflow'!P17:Q17)))</f>
        <v>0</v>
      </c>
      <c r="S10" s="302">
        <f>MAX(0,'2 Investit- und Personalplanung'!C19-(SUM('3 GuV - Cashflow'!C17:N17)+SUM('3 GuV - Cashflow'!P17:R17)))</f>
        <v>0</v>
      </c>
      <c r="T10" s="302">
        <f>MAX(0,'2 Investit- und Personalplanung'!C19-(SUM('3 GuV - Cashflow'!C17:N17)+SUM('3 GuV - Cashflow'!P17:S17)))</f>
        <v>0</v>
      </c>
      <c r="U10" s="322">
        <f>MAX(0,'2 Investit- und Personalplanung'!C19-(SUM('3 GuV - Cashflow'!C17:N17)+SUM('3 GuV - Cashflow'!P17:T17)))</f>
        <v>0</v>
      </c>
      <c r="V10" s="302">
        <f>MAX(0,'2 Investit- und Personalplanung'!C19-(SUM('3 GuV - Cashflow'!C17:N17)+SUM('3 GuV - Cashflow'!P17:U17)))</f>
        <v>0</v>
      </c>
      <c r="W10" s="302">
        <f>MAX(0,'2 Investit- und Personalplanung'!C19-(SUM('3 GuV - Cashflow'!C17:N17)+SUM('3 GuV - Cashflow'!P17:V17)))</f>
        <v>0</v>
      </c>
      <c r="X10" s="302">
        <f>MAX(0,'2 Investit- und Personalplanung'!C19-(SUM('3 GuV - Cashflow'!C17:N17)+SUM('3 GuV - Cashflow'!P17:W17)))</f>
        <v>0</v>
      </c>
      <c r="Y10" s="302">
        <f>MAX(0,'2 Investit- und Personalplanung'!C19-(SUM('3 GuV - Cashflow'!C17:N17)+SUM('3 GuV - Cashflow'!P17:X17)))</f>
        <v>0</v>
      </c>
      <c r="Z10" s="322">
        <f>MAX(0,'2 Investit- und Personalplanung'!C19-(SUM('3 GuV - Cashflow'!C17:N17)+SUM('3 GuV - Cashflow'!P17:Y17)))</f>
        <v>0</v>
      </c>
      <c r="AA10" s="7"/>
      <c r="AB10" s="7"/>
      <c r="AC10" s="7"/>
      <c r="AD10" s="7"/>
      <c r="AE10" s="8">
        <f t="shared" si="3"/>
        <v>0</v>
      </c>
    </row>
    <row r="11" spans="2:31" ht="16" customHeight="1" x14ac:dyDescent="0.2">
      <c r="B11" s="24"/>
      <c r="C11" s="6" t="s">
        <v>15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322">
        <f t="shared" si="0"/>
        <v>0</v>
      </c>
      <c r="Q11" s="7"/>
      <c r="R11" s="7"/>
      <c r="S11" s="7"/>
      <c r="T11" s="7"/>
      <c r="U11" s="322">
        <f t="shared" si="1"/>
        <v>0</v>
      </c>
      <c r="V11" s="7"/>
      <c r="W11" s="7"/>
      <c r="X11" s="7"/>
      <c r="Y11" s="7"/>
      <c r="Z11" s="322">
        <f t="shared" si="2"/>
        <v>0</v>
      </c>
      <c r="AA11" s="7"/>
      <c r="AB11" s="7"/>
      <c r="AC11" s="7"/>
      <c r="AD11" s="7"/>
      <c r="AE11" s="8">
        <f t="shared" si="3"/>
        <v>0</v>
      </c>
    </row>
    <row r="12" spans="2:31" ht="16" customHeight="1" x14ac:dyDescent="0.2">
      <c r="B12" s="24"/>
      <c r="C12" s="6" t="s">
        <v>16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322">
        <f t="shared" si="0"/>
        <v>0</v>
      </c>
      <c r="Q12" s="7"/>
      <c r="R12" s="7"/>
      <c r="S12" s="7"/>
      <c r="T12" s="7"/>
      <c r="U12" s="322">
        <f t="shared" si="1"/>
        <v>0</v>
      </c>
      <c r="V12" s="7"/>
      <c r="W12" s="7"/>
      <c r="X12" s="7"/>
      <c r="Y12" s="7"/>
      <c r="Z12" s="322">
        <f t="shared" si="2"/>
        <v>0</v>
      </c>
      <c r="AA12" s="7"/>
      <c r="AB12" s="7"/>
      <c r="AC12" s="7"/>
      <c r="AD12" s="7"/>
      <c r="AE12" s="8">
        <f t="shared" si="3"/>
        <v>0</v>
      </c>
    </row>
    <row r="13" spans="2:31" ht="16" customHeight="1" x14ac:dyDescent="0.2">
      <c r="B13" s="24"/>
      <c r="C13" s="109" t="s">
        <v>11</v>
      </c>
      <c r="D13" s="335">
        <v>0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345">
        <f t="shared" si="0"/>
        <v>0</v>
      </c>
      <c r="Q13" s="76"/>
      <c r="R13" s="76"/>
      <c r="S13" s="76"/>
      <c r="T13" s="76"/>
      <c r="U13" s="345">
        <f t="shared" si="1"/>
        <v>0</v>
      </c>
      <c r="V13" s="76"/>
      <c r="W13" s="76"/>
      <c r="X13" s="76"/>
      <c r="Y13" s="76"/>
      <c r="Z13" s="345">
        <f t="shared" si="2"/>
        <v>0</v>
      </c>
      <c r="AA13" s="76"/>
      <c r="AB13" s="76"/>
      <c r="AC13" s="76"/>
      <c r="AD13" s="76"/>
      <c r="AE13" s="110">
        <f t="shared" si="3"/>
        <v>0</v>
      </c>
    </row>
    <row r="14" spans="2:31" ht="16" customHeight="1" x14ac:dyDescent="0.2">
      <c r="B14" s="25" t="s">
        <v>17</v>
      </c>
      <c r="C14" s="49"/>
      <c r="D14" s="309">
        <f>SUM(D8:D13)</f>
        <v>29861.111111111109</v>
      </c>
      <c r="E14" s="309">
        <f t="shared" ref="E14:Z14" si="4">SUM(E8:E13)</f>
        <v>29722.222222222223</v>
      </c>
      <c r="F14" s="309">
        <f t="shared" si="4"/>
        <v>28072.033333333333</v>
      </c>
      <c r="G14" s="309">
        <f t="shared" si="4"/>
        <v>26421.844444444447</v>
      </c>
      <c r="H14" s="309">
        <f t="shared" si="4"/>
        <v>24771.655555555553</v>
      </c>
      <c r="I14" s="309">
        <f t="shared" si="4"/>
        <v>23121.466666666667</v>
      </c>
      <c r="J14" s="309">
        <f t="shared" si="4"/>
        <v>21471.277777777777</v>
      </c>
      <c r="K14" s="309">
        <f t="shared" si="4"/>
        <v>20000.2</v>
      </c>
      <c r="L14" s="309">
        <f t="shared" si="4"/>
        <v>19166.900000000001</v>
      </c>
      <c r="M14" s="309">
        <f t="shared" si="4"/>
        <v>18333.599999999999</v>
      </c>
      <c r="N14" s="309">
        <f t="shared" si="4"/>
        <v>17500.3</v>
      </c>
      <c r="O14" s="309">
        <f t="shared" si="4"/>
        <v>16667</v>
      </c>
      <c r="P14" s="310">
        <f t="shared" si="4"/>
        <v>16667</v>
      </c>
      <c r="Q14" s="309">
        <f t="shared" si="4"/>
        <v>14583.666666666666</v>
      </c>
      <c r="R14" s="309">
        <f t="shared" si="4"/>
        <v>12500.333333333332</v>
      </c>
      <c r="S14" s="309">
        <f t="shared" si="4"/>
        <v>10417</v>
      </c>
      <c r="T14" s="309">
        <f t="shared" si="4"/>
        <v>8333.6666666666642</v>
      </c>
      <c r="U14" s="310">
        <f t="shared" si="4"/>
        <v>0.33333333333212067</v>
      </c>
      <c r="V14" s="309">
        <f t="shared" si="4"/>
        <v>0</v>
      </c>
      <c r="W14" s="309">
        <f t="shared" si="4"/>
        <v>0</v>
      </c>
      <c r="X14" s="309">
        <f t="shared" si="4"/>
        <v>0</v>
      </c>
      <c r="Y14" s="309">
        <f t="shared" si="4"/>
        <v>0</v>
      </c>
      <c r="Z14" s="310">
        <f t="shared" si="4"/>
        <v>0</v>
      </c>
      <c r="AA14" s="38">
        <f t="shared" ref="AA14:AE14" si="5">SUM(AA8:AA13)</f>
        <v>0</v>
      </c>
      <c r="AB14" s="38">
        <f t="shared" si="5"/>
        <v>0</v>
      </c>
      <c r="AC14" s="38">
        <f t="shared" si="5"/>
        <v>0</v>
      </c>
      <c r="AD14" s="38">
        <f t="shared" si="5"/>
        <v>0</v>
      </c>
      <c r="AE14" s="37">
        <f t="shared" si="5"/>
        <v>0</v>
      </c>
    </row>
    <row r="15" spans="2:31" ht="16" customHeight="1" x14ac:dyDescent="0.2">
      <c r="B15" s="36" t="s">
        <v>18</v>
      </c>
      <c r="C15" s="1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346"/>
      <c r="Q15" s="7"/>
      <c r="R15" s="7"/>
      <c r="S15" s="7"/>
      <c r="T15" s="7"/>
      <c r="U15" s="346"/>
      <c r="V15" s="7"/>
      <c r="W15" s="7"/>
      <c r="X15" s="7"/>
      <c r="Y15" s="7"/>
      <c r="Z15" s="346"/>
      <c r="AA15" s="7"/>
      <c r="AB15" s="7"/>
      <c r="AC15" s="7"/>
      <c r="AD15" s="7"/>
      <c r="AE15" s="8"/>
    </row>
    <row r="16" spans="2:31" ht="16" customHeight="1" x14ac:dyDescent="0.2">
      <c r="B16" s="24"/>
      <c r="C16" s="13" t="s">
        <v>19</v>
      </c>
      <c r="D16" s="334">
        <f>'3 GuV - Cashflow'!C6</f>
        <v>0</v>
      </c>
      <c r="E16" s="334">
        <f>'3 GuV - Cashflow'!D6</f>
        <v>0</v>
      </c>
      <c r="F16" s="334">
        <f>'3 GuV - Cashflow'!E6</f>
        <v>0</v>
      </c>
      <c r="G16" s="334">
        <f>'3 GuV - Cashflow'!F6</f>
        <v>0</v>
      </c>
      <c r="H16" s="334">
        <f>'3 GuV - Cashflow'!G6</f>
        <v>0</v>
      </c>
      <c r="I16" s="334">
        <f>'3 GuV - Cashflow'!H6</f>
        <v>0</v>
      </c>
      <c r="J16" s="334">
        <f>'3 GuV - Cashflow'!I6</f>
        <v>0</v>
      </c>
      <c r="K16" s="334">
        <f>'3 GuV - Cashflow'!J6</f>
        <v>0</v>
      </c>
      <c r="L16" s="334">
        <f>'3 GuV - Cashflow'!K6</f>
        <v>0</v>
      </c>
      <c r="M16" s="334">
        <f>'3 GuV - Cashflow'!L6</f>
        <v>0</v>
      </c>
      <c r="N16" s="334">
        <f>'3 GuV - Cashflow'!M6</f>
        <v>0</v>
      </c>
      <c r="O16" s="334">
        <f>'3 GuV - Cashflow'!N6</f>
        <v>0</v>
      </c>
      <c r="P16" s="344">
        <f>'3 GuV - Cashflow'!O6</f>
        <v>0</v>
      </c>
      <c r="Q16" s="334">
        <f>'3 GuV - Cashflow'!P6</f>
        <v>48742</v>
      </c>
      <c r="R16" s="334">
        <f>'3 GuV - Cashflow'!Q6</f>
        <v>28218</v>
      </c>
      <c r="S16" s="334">
        <f>'3 GuV - Cashflow'!R6</f>
        <v>68248</v>
      </c>
      <c r="T16" s="334">
        <f>'3 GuV - Cashflow'!S6</f>
        <v>52351</v>
      </c>
      <c r="U16" s="344">
        <f>'3 GuV - Cashflow'!T6</f>
        <v>197559</v>
      </c>
      <c r="V16" s="334">
        <f>'3 GuV - Cashflow'!U6</f>
        <v>70871</v>
      </c>
      <c r="W16" s="334">
        <f>'3 GuV - Cashflow'!V6</f>
        <v>75213</v>
      </c>
      <c r="X16" s="334">
        <f>'3 GuV - Cashflow'!W6</f>
        <v>122758</v>
      </c>
      <c r="Y16" s="334">
        <f>'3 GuV - Cashflow'!X6</f>
        <v>108476</v>
      </c>
      <c r="Z16" s="344">
        <f>'3 GuV - Cashflow'!Y6</f>
        <v>377318</v>
      </c>
      <c r="AA16" s="17"/>
      <c r="AB16" s="17"/>
      <c r="AC16" s="17"/>
      <c r="AD16" s="17"/>
      <c r="AE16" s="18">
        <f t="shared" ref="AE16:AE18" si="6">SUM(AA16:AD16)</f>
        <v>0</v>
      </c>
    </row>
    <row r="17" spans="2:31" ht="16" customHeight="1" x14ac:dyDescent="0.2">
      <c r="B17" s="24"/>
      <c r="C17" s="6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322">
        <f t="shared" ref="P17" si="7">SUM(D17:O17)</f>
        <v>0</v>
      </c>
      <c r="Q17" s="7"/>
      <c r="R17" s="7"/>
      <c r="S17" s="7"/>
      <c r="T17" s="7"/>
      <c r="U17" s="322">
        <f t="shared" ref="U17" si="8">SUM(Q17:T17)</f>
        <v>0</v>
      </c>
      <c r="V17" s="7"/>
      <c r="W17" s="7"/>
      <c r="X17" s="7"/>
      <c r="Y17" s="7"/>
      <c r="Z17" s="322">
        <f t="shared" ref="Z17" si="9">SUM(V17:Y17)</f>
        <v>0</v>
      </c>
      <c r="AA17" s="7"/>
      <c r="AB17" s="7"/>
      <c r="AC17" s="7"/>
      <c r="AD17" s="7"/>
      <c r="AE17" s="8">
        <f t="shared" si="6"/>
        <v>0</v>
      </c>
    </row>
    <row r="18" spans="2:31" ht="16" customHeight="1" x14ac:dyDescent="0.2">
      <c r="B18" s="24"/>
      <c r="C18" s="109" t="s">
        <v>21</v>
      </c>
      <c r="D18" s="335">
        <f>MAX(0,SUM('5 Liquiditätsplanung'!D15:D15))</f>
        <v>67727</v>
      </c>
      <c r="E18" s="335">
        <f>MAX(0,SUM('5 Liquiditätsplanung'!D15:E15))</f>
        <v>67577</v>
      </c>
      <c r="F18" s="335">
        <f>MAX(0,SUM('5 Liquiditätsplanung'!D15:F15))</f>
        <v>46985</v>
      </c>
      <c r="G18" s="335">
        <f>MAX(0,SUM('5 Liquiditätsplanung'!D15:G15))</f>
        <v>46733</v>
      </c>
      <c r="H18" s="335">
        <f>MAX(0,SUM('5 Liquiditätsplanung'!D15:H15))</f>
        <v>46481</v>
      </c>
      <c r="I18" s="335">
        <f>MAX(0,SUM('5 Liquiditätsplanung'!D15:I15))</f>
        <v>76229</v>
      </c>
      <c r="J18" s="335">
        <f>MAX(0,SUM('5 Liquiditätsplanung'!D15:J15))</f>
        <v>75977</v>
      </c>
      <c r="K18" s="335">
        <f>MAX(0,SUM('5 Liquiditätsplanung'!D15:K15))</f>
        <v>75725</v>
      </c>
      <c r="L18" s="335">
        <f>MAX(0,SUM('5 Liquiditätsplanung'!D15:L15))</f>
        <v>75473</v>
      </c>
      <c r="M18" s="335">
        <f>MAX(0,SUM('5 Liquiditätsplanung'!D15:M15))</f>
        <v>75221</v>
      </c>
      <c r="N18" s="335">
        <f>MAX(0,SUM('5 Liquiditätsplanung'!D15:N15))</f>
        <v>74969</v>
      </c>
      <c r="O18" s="335">
        <f>MAX(0,SUM('5 Liquiditätsplanung'!D15:O15))</f>
        <v>74717</v>
      </c>
      <c r="P18" s="345">
        <f>MAX(0,SUM('5 Liquiditätsplanung'!D15:O15))</f>
        <v>74717</v>
      </c>
      <c r="Q18" s="335">
        <f>MAX(0,SUM('5 Liquiditätsplanung'!D15:O15)+SUM('5 Liquiditätsplanung'!Q15:Q15))</f>
        <v>49501</v>
      </c>
      <c r="R18" s="335">
        <f>MAX(0,SUM('5 Liquiditätsplanung'!D15:O15)+SUM('5 Liquiditätsplanung'!Q15:R15))</f>
        <v>21182</v>
      </c>
      <c r="S18" s="335">
        <f>MAX(0,SUM('5 Liquiditätsplanung'!D15:O15)+SUM('5 Liquiditätsplanung'!Q15:S15))</f>
        <v>101798</v>
      </c>
      <c r="T18" s="335">
        <f>MAX(0,SUM('5 Liquiditätsplanung'!D15:O15)+SUM('5 Liquiditätsplanung'!Q15:T15))</f>
        <v>80890</v>
      </c>
      <c r="U18" s="345">
        <f>MAX(0,SUM('5 Liquiditätsplanung'!D15:O15)+SUM('5 Liquiditätsplanung'!Q15:T15)+SUM('5 Liquiditätsplanung'!V15:V15))</f>
        <v>60981</v>
      </c>
      <c r="V18" s="335">
        <f>MAX(0,SUM('5 Liquiditätsplanung'!D15:O15)+SUM('5 Liquiditätsplanung'!Q15:T15)+SUM('5 Liquiditätsplanung'!V15:W15))</f>
        <v>43651</v>
      </c>
      <c r="W18" s="335">
        <f>MAX(0,SUM('5 Liquiditätsplanung'!D15:O15)+SUM('5 Liquiditätsplanung'!Q15:T15)+SUM('5 Liquiditätsplanung'!V15:X15))</f>
        <v>32646</v>
      </c>
      <c r="X18" s="335">
        <f>MAX(0,SUM('5 Liquiditätsplanung'!D15:O15)+SUM('5 Liquiditätsplanung'!Q15:T15)+SUM('5 Liquiditätsplanung'!V15:Y15))</f>
        <v>21547.3125</v>
      </c>
      <c r="Y18" s="76"/>
      <c r="Z18" s="345">
        <f>MAX(0,SUM('5 Liquiditätsplanung'!D15:O15)+SUM('5 Liquiditätsplanung'!Q15:T15)+SUM('5 Liquiditätsplanung'!V15:Y15))</f>
        <v>21547.3125</v>
      </c>
      <c r="AA18" s="76"/>
      <c r="AB18" s="76"/>
      <c r="AC18" s="76"/>
      <c r="AD18" s="76"/>
      <c r="AE18" s="110">
        <f t="shared" si="6"/>
        <v>0</v>
      </c>
    </row>
    <row r="19" spans="2:31" ht="16" customHeight="1" x14ac:dyDescent="0.2">
      <c r="B19" s="25" t="s">
        <v>22</v>
      </c>
      <c r="C19" s="49"/>
      <c r="D19" s="309">
        <f>SUM(D16:D18)</f>
        <v>67727</v>
      </c>
      <c r="E19" s="309">
        <f t="shared" ref="E19:Z19" si="10">SUM(E16:E18)</f>
        <v>67577</v>
      </c>
      <c r="F19" s="309">
        <f t="shared" si="10"/>
        <v>46985</v>
      </c>
      <c r="G19" s="309">
        <f t="shared" si="10"/>
        <v>46733</v>
      </c>
      <c r="H19" s="309">
        <f t="shared" si="10"/>
        <v>46481</v>
      </c>
      <c r="I19" s="309">
        <f t="shared" si="10"/>
        <v>76229</v>
      </c>
      <c r="J19" s="309">
        <f t="shared" si="10"/>
        <v>75977</v>
      </c>
      <c r="K19" s="309">
        <f t="shared" si="10"/>
        <v>75725</v>
      </c>
      <c r="L19" s="309">
        <f t="shared" si="10"/>
        <v>75473</v>
      </c>
      <c r="M19" s="309">
        <f t="shared" si="10"/>
        <v>75221</v>
      </c>
      <c r="N19" s="309">
        <f t="shared" si="10"/>
        <v>74969</v>
      </c>
      <c r="O19" s="309">
        <f t="shared" si="10"/>
        <v>74717</v>
      </c>
      <c r="P19" s="310">
        <f t="shared" si="10"/>
        <v>74717</v>
      </c>
      <c r="Q19" s="309">
        <f t="shared" si="10"/>
        <v>98243</v>
      </c>
      <c r="R19" s="309">
        <f t="shared" si="10"/>
        <v>49400</v>
      </c>
      <c r="S19" s="309">
        <f t="shared" si="10"/>
        <v>170046</v>
      </c>
      <c r="T19" s="309">
        <f t="shared" si="10"/>
        <v>133241</v>
      </c>
      <c r="U19" s="310">
        <f t="shared" si="10"/>
        <v>258540</v>
      </c>
      <c r="V19" s="309">
        <f t="shared" si="10"/>
        <v>114522</v>
      </c>
      <c r="W19" s="309">
        <f t="shared" si="10"/>
        <v>107859</v>
      </c>
      <c r="X19" s="309">
        <f t="shared" si="10"/>
        <v>144305.3125</v>
      </c>
      <c r="Y19" s="309">
        <f t="shared" si="10"/>
        <v>108476</v>
      </c>
      <c r="Z19" s="310">
        <f t="shared" si="10"/>
        <v>398865.3125</v>
      </c>
      <c r="AA19" s="38">
        <f t="shared" ref="AA19:AE19" si="11">SUM(AA16:AA18)</f>
        <v>0</v>
      </c>
      <c r="AB19" s="38">
        <f t="shared" si="11"/>
        <v>0</v>
      </c>
      <c r="AC19" s="38">
        <f t="shared" si="11"/>
        <v>0</v>
      </c>
      <c r="AD19" s="38">
        <f t="shared" si="11"/>
        <v>0</v>
      </c>
      <c r="AE19" s="37">
        <f t="shared" si="11"/>
        <v>0</v>
      </c>
    </row>
    <row r="20" spans="2:31" ht="16" customHeight="1" x14ac:dyDescent="0.2">
      <c r="B20" s="25" t="s">
        <v>23</v>
      </c>
      <c r="C20" s="23"/>
      <c r="D20" s="309">
        <f>SUM(D14,D19)</f>
        <v>97588.111111111109</v>
      </c>
      <c r="E20" s="309">
        <f t="shared" ref="E20:Z20" si="12">SUM(E14,E19)</f>
        <v>97299.222222222219</v>
      </c>
      <c r="F20" s="309">
        <f t="shared" si="12"/>
        <v>75057.033333333326</v>
      </c>
      <c r="G20" s="309">
        <f t="shared" si="12"/>
        <v>73154.844444444447</v>
      </c>
      <c r="H20" s="309">
        <f t="shared" si="12"/>
        <v>71252.655555555553</v>
      </c>
      <c r="I20" s="309">
        <f t="shared" si="12"/>
        <v>99350.466666666674</v>
      </c>
      <c r="J20" s="309">
        <f t="shared" si="12"/>
        <v>97448.277777777781</v>
      </c>
      <c r="K20" s="309">
        <f t="shared" si="12"/>
        <v>95725.2</v>
      </c>
      <c r="L20" s="309">
        <f t="shared" si="12"/>
        <v>94639.9</v>
      </c>
      <c r="M20" s="309">
        <f t="shared" si="12"/>
        <v>93554.6</v>
      </c>
      <c r="N20" s="309">
        <f t="shared" si="12"/>
        <v>92469.3</v>
      </c>
      <c r="O20" s="309">
        <f t="shared" si="12"/>
        <v>91384</v>
      </c>
      <c r="P20" s="310">
        <f t="shared" si="12"/>
        <v>91384</v>
      </c>
      <c r="Q20" s="309">
        <f t="shared" si="12"/>
        <v>112826.66666666667</v>
      </c>
      <c r="R20" s="309">
        <f t="shared" si="12"/>
        <v>61900.333333333328</v>
      </c>
      <c r="S20" s="309">
        <f t="shared" si="12"/>
        <v>180463</v>
      </c>
      <c r="T20" s="309">
        <f t="shared" si="12"/>
        <v>141574.66666666666</v>
      </c>
      <c r="U20" s="310">
        <f t="shared" si="12"/>
        <v>258540.33333333334</v>
      </c>
      <c r="V20" s="309">
        <f t="shared" si="12"/>
        <v>114522</v>
      </c>
      <c r="W20" s="309">
        <f t="shared" si="12"/>
        <v>107859</v>
      </c>
      <c r="X20" s="309">
        <f t="shared" si="12"/>
        <v>144305.3125</v>
      </c>
      <c r="Y20" s="309">
        <f t="shared" si="12"/>
        <v>108476</v>
      </c>
      <c r="Z20" s="310">
        <f t="shared" si="12"/>
        <v>398865.3125</v>
      </c>
      <c r="AA20" s="38">
        <f t="shared" ref="AA20:AE20" si="13">SUM(AA14,AA19)</f>
        <v>0</v>
      </c>
      <c r="AB20" s="38">
        <f t="shared" si="13"/>
        <v>0</v>
      </c>
      <c r="AC20" s="38">
        <f t="shared" si="13"/>
        <v>0</v>
      </c>
      <c r="AD20" s="38">
        <f t="shared" si="13"/>
        <v>0</v>
      </c>
      <c r="AE20" s="37">
        <f t="shared" si="13"/>
        <v>0</v>
      </c>
    </row>
    <row r="21" spans="2:31" ht="16" customHeight="1" x14ac:dyDescent="0.2">
      <c r="B21" s="1"/>
      <c r="C21" s="1"/>
      <c r="D21" s="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1"/>
      <c r="R21" s="1"/>
      <c r="S21" s="1"/>
      <c r="T21" s="1"/>
      <c r="U21" s="2"/>
      <c r="V21" s="1"/>
      <c r="W21" s="1"/>
      <c r="X21" s="1"/>
      <c r="Y21" s="1"/>
      <c r="Z21" s="2"/>
      <c r="AA21" s="1"/>
      <c r="AB21" s="1"/>
      <c r="AC21" s="1"/>
      <c r="AD21" s="1"/>
      <c r="AE21" s="1"/>
    </row>
    <row r="22" spans="2:31" ht="16" customHeight="1" x14ac:dyDescent="0.2">
      <c r="B22" s="96" t="s">
        <v>199</v>
      </c>
      <c r="C22" s="1"/>
      <c r="D22" s="2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/>
      <c r="Q22" s="1"/>
      <c r="R22" s="1"/>
      <c r="S22" s="1"/>
      <c r="T22" s="1"/>
      <c r="U22" s="2"/>
      <c r="V22" s="1"/>
      <c r="W22" s="1"/>
      <c r="X22" s="1"/>
      <c r="Y22" s="1"/>
      <c r="Z22" s="2"/>
      <c r="AA22" s="1"/>
      <c r="AB22" s="1"/>
      <c r="AC22" s="1"/>
      <c r="AD22" s="1"/>
      <c r="AE22" s="1"/>
    </row>
    <row r="23" spans="2:31" ht="16" customHeight="1" x14ac:dyDescent="0.2">
      <c r="B23" s="39" t="s">
        <v>24</v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0"/>
      <c r="Q23" s="12"/>
      <c r="R23" s="12"/>
      <c r="S23" s="12"/>
      <c r="T23" s="12"/>
      <c r="U23" s="10"/>
      <c r="V23" s="12"/>
      <c r="W23" s="12"/>
      <c r="X23" s="12"/>
      <c r="Y23" s="12"/>
      <c r="Z23" s="10"/>
      <c r="AA23" s="12"/>
      <c r="AB23" s="12"/>
      <c r="AC23" s="12"/>
      <c r="AD23" s="12"/>
      <c r="AE23" s="13"/>
    </row>
    <row r="24" spans="2:31" ht="16" customHeight="1" x14ac:dyDescent="0.2">
      <c r="B24" s="36"/>
      <c r="C24" s="13" t="s">
        <v>25</v>
      </c>
      <c r="D24" s="336">
        <f>SUM('5 Liquiditätsplanung'!D7:D7)</f>
        <v>100000</v>
      </c>
      <c r="E24" s="334">
        <f>SUM('5 Liquiditätsplanung'!D7:E7)</f>
        <v>100000</v>
      </c>
      <c r="F24" s="334">
        <f>SUM('5 Liquiditätsplanung'!D7:F7)</f>
        <v>100000</v>
      </c>
      <c r="G24" s="334">
        <f>SUM('5 Liquiditätsplanung'!D7:G7)</f>
        <v>100000</v>
      </c>
      <c r="H24" s="334">
        <f>SUM('5 Liquiditätsplanung'!D7:H7)</f>
        <v>100000</v>
      </c>
      <c r="I24" s="334">
        <f>SUM('5 Liquiditätsplanung'!D7:I7)</f>
        <v>130000</v>
      </c>
      <c r="J24" s="334">
        <f>SUM('5 Liquiditätsplanung'!D7:J7)</f>
        <v>130000</v>
      </c>
      <c r="K24" s="334">
        <f>SUM('5 Liquiditätsplanung'!D7:K7)</f>
        <v>130000</v>
      </c>
      <c r="L24" s="334">
        <f>SUM('5 Liquiditätsplanung'!D7:L7)</f>
        <v>130000</v>
      </c>
      <c r="M24" s="334">
        <f>SUM('5 Liquiditätsplanung'!D7:M7)</f>
        <v>130000</v>
      </c>
      <c r="N24" s="334">
        <f>SUM('5 Liquiditätsplanung'!D7:N7)</f>
        <v>130000</v>
      </c>
      <c r="O24" s="334">
        <f>SUM('5 Liquiditätsplanung'!D7:O7)</f>
        <v>130000</v>
      </c>
      <c r="P24" s="344">
        <f>SUM('5 Liquiditätsplanung'!D7:O7)</f>
        <v>130000</v>
      </c>
      <c r="Q24" s="334">
        <f>SUM('5 Liquiditätsplanung'!D7:O7)</f>
        <v>130000</v>
      </c>
      <c r="R24" s="334">
        <f>SUM('5 Liquiditätsplanung'!D7:O7)</f>
        <v>130000</v>
      </c>
      <c r="S24" s="334">
        <f>SUM('5 Liquiditätsplanung'!D7:O7)</f>
        <v>130000</v>
      </c>
      <c r="T24" s="334">
        <f>SUM('5 Liquiditätsplanung'!D7:O7)</f>
        <v>130000</v>
      </c>
      <c r="U24" s="344">
        <f>SUM('5 Liquiditätsplanung'!D7:O7)</f>
        <v>130000</v>
      </c>
      <c r="V24" s="334">
        <f>SUM('5 Liquiditätsplanung'!D7:O7)</f>
        <v>130000</v>
      </c>
      <c r="W24" s="334">
        <f>SUM('5 Liquiditätsplanung'!D7:O7)</f>
        <v>130000</v>
      </c>
      <c r="X24" s="334">
        <f>SUM('5 Liquiditätsplanung'!D7:O7)</f>
        <v>130000</v>
      </c>
      <c r="Y24" s="334">
        <f>SUM('5 Liquiditätsplanung'!D7:O7)</f>
        <v>130000</v>
      </c>
      <c r="Z24" s="344">
        <f>SUM('5 Liquiditätsplanung'!D7:O7)</f>
        <v>130000</v>
      </c>
      <c r="AA24" s="17"/>
      <c r="AB24" s="17"/>
      <c r="AC24" s="17"/>
      <c r="AD24" s="17"/>
      <c r="AE24" s="18">
        <f t="shared" ref="AE24:AE26" si="14">SUM(AA24:AD24)</f>
        <v>0</v>
      </c>
    </row>
    <row r="25" spans="2:31" ht="16" customHeight="1" x14ac:dyDescent="0.2">
      <c r="B25" s="40"/>
      <c r="C25" s="9" t="s">
        <v>26</v>
      </c>
      <c r="D25" s="337">
        <f>'3 GuV - Cashflow'!C33</f>
        <v>0</v>
      </c>
      <c r="E25" s="320">
        <f>SUM('3 GuV - Cashflow'!C33:D33)</f>
        <v>0</v>
      </c>
      <c r="F25" s="320">
        <f>SUM('3 GuV - Cashflow'!C33:E33)</f>
        <v>0</v>
      </c>
      <c r="G25" s="320">
        <f>SUM('3 GuV - Cashflow'!C33:F33)</f>
        <v>0</v>
      </c>
      <c r="H25" s="320">
        <f>SUM('3 GuV - Cashflow'!C33:G33)</f>
        <v>0</v>
      </c>
      <c r="I25" s="320">
        <f>SUM('3 GuV - Cashflow'!C33:H33)</f>
        <v>0</v>
      </c>
      <c r="J25" s="320">
        <f>SUM('3 GuV - Cashflow'!C33:I33)</f>
        <v>0</v>
      </c>
      <c r="K25" s="320">
        <f>SUM('3 GuV - Cashflow'!C33:J33)</f>
        <v>0</v>
      </c>
      <c r="L25" s="320">
        <f>SUM('3 GuV - Cashflow'!C33:K33)</f>
        <v>0</v>
      </c>
      <c r="M25" s="320">
        <f>SUM('3 GuV - Cashflow'!C33:L33)</f>
        <v>0</v>
      </c>
      <c r="N25" s="320">
        <f>SUM('3 GuV - Cashflow'!C33:M33)</f>
        <v>0</v>
      </c>
      <c r="O25" s="320">
        <f>SUM('3 GuV - Cashflow'!C33:N33)</f>
        <v>0</v>
      </c>
      <c r="P25" s="323">
        <f>SUM('3 GuV - Cashflow'!C33:N33)</f>
        <v>0</v>
      </c>
      <c r="Q25" s="320">
        <f>SUM('3 GuV - Cashflow'!C33:N33)+SUM('3 GuV - Cashflow'!P33:P33)</f>
        <v>0</v>
      </c>
      <c r="R25" s="320">
        <f>SUM('3 GuV - Cashflow'!C33:N33)+SUM('3 GuV - Cashflow'!P33:Q33)</f>
        <v>0</v>
      </c>
      <c r="S25" s="320">
        <f>SUM('3 GuV - Cashflow'!C33:N33)+SUM('3 GuV - Cashflow'!P33:R33)</f>
        <v>0</v>
      </c>
      <c r="T25" s="320">
        <f>SUM('3 GuV - Cashflow'!C33:N33)+SUM('3 GuV - Cashflow'!P33:S33)</f>
        <v>0</v>
      </c>
      <c r="U25" s="323">
        <f>SUM('3 GuV - Cashflow'!C33:N33)+SUM('3 GuV - Cashflow'!P33:T33)</f>
        <v>0</v>
      </c>
      <c r="V25" s="320">
        <f>SUM('3 GuV - Cashflow'!C33:N33)+SUM('3 GuV - Cashflow'!P33:U33)</f>
        <v>0</v>
      </c>
      <c r="W25" s="320">
        <f>SUM('3 GuV - Cashflow'!C33:N33)+SUM('3 GuV - Cashflow'!P33:V33)</f>
        <v>0</v>
      </c>
      <c r="X25" s="320">
        <f>SUM('3 GuV - Cashflow'!C33:N33)+SUM('3 GuV - Cashflow'!P33:W33)</f>
        <v>0</v>
      </c>
      <c r="Y25" s="320">
        <f>SUM('3 GuV - Cashflow'!C33:N33)+SUM('3 GuV - Cashflow'!P33:X33)</f>
        <v>0</v>
      </c>
      <c r="Z25" s="323">
        <f>SUM('3 GuV - Cashflow'!C33:N33)+SUM('3 GuV - Cashflow'!P33:Y33)</f>
        <v>0</v>
      </c>
      <c r="AA25" s="59"/>
      <c r="AB25" s="59"/>
      <c r="AC25" s="59"/>
      <c r="AD25" s="59"/>
      <c r="AE25" s="77">
        <f t="shared" si="14"/>
        <v>0</v>
      </c>
    </row>
    <row r="26" spans="2:31" ht="16" customHeight="1" x14ac:dyDescent="0.2">
      <c r="B26" s="40"/>
      <c r="C26" s="112" t="s">
        <v>27</v>
      </c>
      <c r="D26" s="338">
        <f ca="1">'3 GuV - Cashflow'!C34</f>
        <v>0</v>
      </c>
      <c r="E26" s="339">
        <f ca="1">SUM('3 GuV - Cashflow'!C34:D34)</f>
        <v>0</v>
      </c>
      <c r="F26" s="339">
        <f ca="1">SUM('3 GuV - Cashflow'!C34:E34)</f>
        <v>0</v>
      </c>
      <c r="G26" s="339">
        <f ca="1">SUM('3 GuV - Cashflow'!C34:F34)</f>
        <v>0</v>
      </c>
      <c r="H26" s="339">
        <f ca="1">SUM('3 GuV - Cashflow'!C34:G34)</f>
        <v>0</v>
      </c>
      <c r="I26" s="339">
        <f ca="1">SUM('3 GuV - Cashflow'!C34:H34)</f>
        <v>0</v>
      </c>
      <c r="J26" s="339">
        <f ca="1">SUM('3 GuV - Cashflow'!C34:I34)</f>
        <v>0</v>
      </c>
      <c r="K26" s="339">
        <f ca="1">SUM('3 GuV - Cashflow'!C34:J34)</f>
        <v>0</v>
      </c>
      <c r="L26" s="339">
        <f ca="1">SUM('3 GuV - Cashflow'!C34:K34)</f>
        <v>0</v>
      </c>
      <c r="M26" s="339">
        <f ca="1">SUM('3 GuV - Cashflow'!C34:L34)</f>
        <v>0</v>
      </c>
      <c r="N26" s="339">
        <f ca="1">SUM('3 GuV - Cashflow'!C34:M34)</f>
        <v>0</v>
      </c>
      <c r="O26" s="339">
        <f ca="1">SUM('3 GuV - Cashflow'!C34:N34)</f>
        <v>0</v>
      </c>
      <c r="P26" s="347">
        <f ca="1">SUM('3 GuV - Cashflow'!C34:N34)</f>
        <v>0</v>
      </c>
      <c r="Q26" s="339">
        <f ca="1">SUM('3 GuV - Cashflow'!C34:N34)+SUM('3 GuV - Cashflow'!P34:P34)</f>
        <v>0</v>
      </c>
      <c r="R26" s="339">
        <f ca="1">SUM('3 GuV - Cashflow'!C34:N34)+SUM('3 GuV - Cashflow'!P34:Q34)</f>
        <v>0</v>
      </c>
      <c r="S26" s="339">
        <f ca="1">SUM('3 GuV - Cashflow'!C34:N34)+SUM('3 GuV - Cashflow'!P34:R34)</f>
        <v>0</v>
      </c>
      <c r="T26" s="339">
        <f ca="1">SUM('3 GuV - Cashflow'!C34:N34)+SUM('3 GuV - Cashflow'!P34:S34)</f>
        <v>0</v>
      </c>
      <c r="U26" s="347">
        <f ca="1">SUM('3 GuV - Cashflow'!C34:N34)+SUM('3 GuV - Cashflow'!P34:T34)</f>
        <v>0</v>
      </c>
      <c r="V26" s="339">
        <f ca="1">SUM('3 GuV - Cashflow'!C34:N34)+SUM('3 GuV - Cashflow'!P34:U34)</f>
        <v>0</v>
      </c>
      <c r="W26" s="339">
        <f ca="1">SUM('3 GuV - Cashflow'!C34:N34)+SUM('3 GuV - Cashflow'!P34:V34)</f>
        <v>0</v>
      </c>
      <c r="X26" s="339">
        <f ca="1">SUM('3 GuV - Cashflow'!C34:N34)+SUM('3 GuV - Cashflow'!P34:W34)</f>
        <v>0</v>
      </c>
      <c r="Y26" s="339">
        <f ca="1">SUM('3 GuV - Cashflow'!C34:N34)+SUM('3 GuV - Cashflow'!P34:X34)</f>
        <v>0</v>
      </c>
      <c r="Z26" s="347">
        <f ca="1">SUM('3 GuV - Cashflow'!C34:N34)+SUM('3 GuV - Cashflow'!P34:Y34)</f>
        <v>0</v>
      </c>
      <c r="AA26" s="113"/>
      <c r="AB26" s="113"/>
      <c r="AC26" s="113"/>
      <c r="AD26" s="113"/>
      <c r="AE26" s="114">
        <f t="shared" si="14"/>
        <v>0</v>
      </c>
    </row>
    <row r="27" spans="2:31" ht="16" customHeight="1" x14ac:dyDescent="0.2">
      <c r="B27" s="32" t="s">
        <v>28</v>
      </c>
      <c r="C27" s="23"/>
      <c r="D27" s="309">
        <f ca="1">SUM(D24:D26)</f>
        <v>99722.22</v>
      </c>
      <c r="E27" s="309">
        <f t="shared" ref="E27:Z27" ca="1" si="15">SUM(E24:E26)</f>
        <v>0</v>
      </c>
      <c r="F27" s="309">
        <f t="shared" ca="1" si="15"/>
        <v>0</v>
      </c>
      <c r="G27" s="309">
        <f t="shared" ca="1" si="15"/>
        <v>0</v>
      </c>
      <c r="H27" s="309">
        <f t="shared" ca="1" si="15"/>
        <v>0</v>
      </c>
      <c r="I27" s="309">
        <f t="shared" ca="1" si="15"/>
        <v>0</v>
      </c>
      <c r="J27" s="309">
        <f t="shared" ca="1" si="15"/>
        <v>0</v>
      </c>
      <c r="K27" s="309">
        <f t="shared" ca="1" si="15"/>
        <v>0</v>
      </c>
      <c r="L27" s="309">
        <f t="shared" ca="1" si="15"/>
        <v>0</v>
      </c>
      <c r="M27" s="309">
        <f t="shared" ca="1" si="15"/>
        <v>0</v>
      </c>
      <c r="N27" s="309">
        <f t="shared" ca="1" si="15"/>
        <v>0</v>
      </c>
      <c r="O27" s="309">
        <f t="shared" ca="1" si="15"/>
        <v>93386.67</v>
      </c>
      <c r="P27" s="310">
        <f t="shared" ca="1" si="15"/>
        <v>0</v>
      </c>
      <c r="Q27" s="309">
        <f t="shared" ca="1" si="15"/>
        <v>0</v>
      </c>
      <c r="R27" s="309">
        <f t="shared" ca="1" si="15"/>
        <v>0</v>
      </c>
      <c r="S27" s="309">
        <f t="shared" ca="1" si="15"/>
        <v>0</v>
      </c>
      <c r="T27" s="309">
        <f t="shared" ca="1" si="15"/>
        <v>0</v>
      </c>
      <c r="U27" s="310">
        <f t="shared" ca="1" si="15"/>
        <v>0</v>
      </c>
      <c r="V27" s="309">
        <f t="shared" ca="1" si="15"/>
        <v>0</v>
      </c>
      <c r="W27" s="309">
        <f t="shared" ca="1" si="15"/>
        <v>0</v>
      </c>
      <c r="X27" s="309">
        <f t="shared" ca="1" si="15"/>
        <v>0</v>
      </c>
      <c r="Y27" s="309">
        <f t="shared" ca="1" si="15"/>
        <v>0</v>
      </c>
      <c r="Z27" s="310">
        <f t="shared" ca="1" si="15"/>
        <v>0</v>
      </c>
      <c r="AA27" s="38">
        <f t="shared" ref="AA27:AE27" si="16">SUM(AA24:AA26)</f>
        <v>0</v>
      </c>
      <c r="AB27" s="38">
        <f t="shared" si="16"/>
        <v>0</v>
      </c>
      <c r="AC27" s="38">
        <f t="shared" si="16"/>
        <v>0</v>
      </c>
      <c r="AD27" s="38">
        <f t="shared" si="16"/>
        <v>0</v>
      </c>
      <c r="AE27" s="37">
        <f t="shared" si="16"/>
        <v>0</v>
      </c>
    </row>
    <row r="28" spans="2:31" ht="16" customHeight="1" x14ac:dyDescent="0.2">
      <c r="B28" s="36" t="s">
        <v>29</v>
      </c>
      <c r="C28" s="1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5"/>
      <c r="Q28" s="1"/>
      <c r="R28" s="1"/>
      <c r="S28" s="1"/>
      <c r="T28" s="1"/>
      <c r="U28" s="5"/>
      <c r="V28" s="1"/>
      <c r="W28" s="1"/>
      <c r="X28" s="1"/>
      <c r="Y28" s="1"/>
      <c r="Z28" s="5"/>
      <c r="AA28" s="1"/>
      <c r="AB28" s="1"/>
      <c r="AC28" s="1"/>
      <c r="AD28" s="1"/>
      <c r="AE28" s="9"/>
    </row>
    <row r="29" spans="2:31" ht="16" customHeight="1" x14ac:dyDescent="0.2">
      <c r="B29" s="40"/>
      <c r="C29" s="10" t="s">
        <v>30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0"/>
      <c r="Q29" s="12"/>
      <c r="R29" s="12"/>
      <c r="S29" s="12"/>
      <c r="T29" s="12"/>
      <c r="U29" s="10"/>
      <c r="V29" s="12"/>
      <c r="W29" s="12"/>
      <c r="X29" s="12"/>
      <c r="Y29" s="12"/>
      <c r="Z29" s="10"/>
      <c r="AA29" s="12"/>
      <c r="AB29" s="12"/>
      <c r="AC29" s="12"/>
      <c r="AD29" s="12"/>
      <c r="AE29" s="13"/>
    </row>
    <row r="30" spans="2:31" ht="16" customHeight="1" x14ac:dyDescent="0.2">
      <c r="B30" s="41"/>
      <c r="C30" s="6" t="s">
        <v>31</v>
      </c>
      <c r="D30" s="302">
        <f>-PV('6 Kapitalbedarfsplanung'!E8/12,'6 Kapitalbedarfsplanung'!F8-1,'6 Kapitalbedarfsplanung'!G8)</f>
        <v>98094.65139225492</v>
      </c>
      <c r="E30" s="302">
        <f>-PV('6 Kapitalbedarfsplanung'!E8/12,'6 Kapitalbedarfsplanung'!F8-2,'6 Kapitalbedarfsplanung'!G8)</f>
        <v>96182.157727232887</v>
      </c>
      <c r="F30" s="302">
        <f>-PV('6 Kapitalbedarfsplanung'!E8/12,'6 Kapitalbedarfsplanung'!F8-3,'6 Kapitalbedarfsplanung'!G8)</f>
        <v>94262.492210967001</v>
      </c>
      <c r="G30" s="302">
        <f>-PV('6 Kapitalbedarfsplanung'!E8/12,'6 Kapitalbedarfsplanung'!F8-4,'6 Kapitalbedarfsplanung'!G8)</f>
        <v>92335.627949015019</v>
      </c>
      <c r="H30" s="302">
        <f>-PV('6 Kapitalbedarfsplanung'!E8/12,'6 Kapitalbedarfsplanung'!F8-5,'6 Kapitalbedarfsplanung'!G8)</f>
        <v>90401.537946080702</v>
      </c>
      <c r="I30" s="302">
        <f>-PV('6 Kapitalbedarfsplanung'!E8/12,'6 Kapitalbedarfsplanung'!F8-6,'6 Kapitalbedarfsplanung'!G8)</f>
        <v>88460.195105635401</v>
      </c>
      <c r="J30" s="302">
        <f>-PV('6 Kapitalbedarfsplanung'!E8/12,'6 Kapitalbedarfsplanung'!F8-7,'6 Kapitalbedarfsplanung'!G8)</f>
        <v>86511.572229538491</v>
      </c>
      <c r="K30" s="302">
        <f>-PV('6 Kapitalbedarfsplanung'!E8/12,'6 Kapitalbedarfsplanung'!F8-8,'6 Kapitalbedarfsplanung'!G8)</f>
        <v>84555.642017656122</v>
      </c>
      <c r="L30" s="302">
        <f>-PV('6 Kapitalbedarfsplanung'!E8/12,'6 Kapitalbedarfsplanung'!F8-9,'6 Kapitalbedarfsplanung'!G8)</f>
        <v>82592.377067479247</v>
      </c>
      <c r="M30" s="302">
        <f>-PV('6 Kapitalbedarfsplanung'!E8/12,'6 Kapitalbedarfsplanung'!F8-10,'6 Kapitalbedarfsplanung'!G8)</f>
        <v>80621.74987373926</v>
      </c>
      <c r="N30" s="302">
        <f>-PV('6 Kapitalbedarfsplanung'!E8/12,'6 Kapitalbedarfsplanung'!F8-11,'6 Kapitalbedarfsplanung'!G8)</f>
        <v>78643.732828022752</v>
      </c>
      <c r="O30" s="302">
        <f>-PV('6 Kapitalbedarfsplanung'!E8/12,'6 Kapitalbedarfsplanung'!F8-12,'6 Kapitalbedarfsplanung'!G8)</f>
        <v>76658.298218384632</v>
      </c>
      <c r="P30" s="322">
        <f>-PV('6 Kapitalbedarfsplanung'!E8/12,'6 Kapitalbedarfsplanung'!F8-12,'6 Kapitalbedarfsplanung'!G8)</f>
        <v>76658.298218384632</v>
      </c>
      <c r="Q30" s="302">
        <f>-PV('6 Kapitalbedarfsplanung'!E8/12,'6 Kapitalbedarfsplanung'!F8-15,'6 Kapitalbedarfsplanung'!G8)</f>
        <v>70657.21032535634</v>
      </c>
      <c r="R30" s="302">
        <f>-PV('6 Kapitalbedarfsplanung'!E8/12,'6 Kapitalbedarfsplanung'!F8-18,'6 Kapitalbedarfsplanung'!G8)</f>
        <v>64588.356706172352</v>
      </c>
      <c r="S30" s="302">
        <f>-PV('6 Kapitalbedarfsplanung'!E8/12,'6 Kapitalbedarfsplanung'!F8-21,'6 Kapitalbedarfsplanung'!G8)</f>
        <v>58450.972133973337</v>
      </c>
      <c r="T30" s="302">
        <f>-PV('6 Kapitalbedarfsplanung'!E8/12,'6 Kapitalbedarfsplanung'!F8-24,'6 Kapitalbedarfsplanung'!G8)</f>
        <v>52244.282740774222</v>
      </c>
      <c r="U30" s="322">
        <f>-PV('6 Kapitalbedarfsplanung'!E8/12,'6 Kapitalbedarfsplanung'!F8-24,'6 Kapitalbedarfsplanung'!G8)</f>
        <v>52244.282740774222</v>
      </c>
      <c r="V30" s="302">
        <f>-PV('6 Kapitalbedarfsplanung'!E8/12,'6 Kapitalbedarfsplanung'!F8-27,'6 Kapitalbedarfsplanung'!G8)</f>
        <v>45967.505919887102</v>
      </c>
      <c r="W30" s="302">
        <f>-PV('6 Kapitalbedarfsplanung'!E8/12,'6 Kapitalbedarfsplanung'!F8-30,'6 Kapitalbedarfsplanung'!G8)</f>
        <v>39619.850227240793</v>
      </c>
      <c r="X30" s="302">
        <f>-PV('6 Kapitalbedarfsplanung'!E8/12,'6 Kapitalbedarfsplanung'!F8-33,'6 Kapitalbedarfsplanung'!G8)</f>
        <v>33200.515281588036</v>
      </c>
      <c r="Y30" s="302">
        <f>-PV('6 Kapitalbedarfsplanung'!E8/12,'6 Kapitalbedarfsplanung'!F8-36,'6 Kapitalbedarfsplanung'!G8)</f>
        <v>26708.691663584214</v>
      </c>
      <c r="Z30" s="322">
        <f>-PV('6 Kapitalbedarfsplanung'!E8/12,'6 Kapitalbedarfsplanung'!F8-36,'6 Kapitalbedarfsplanung'!G8)</f>
        <v>26708.691663584214</v>
      </c>
      <c r="AA30" s="7"/>
      <c r="AB30" s="7"/>
      <c r="AC30" s="7"/>
      <c r="AD30" s="7"/>
      <c r="AE30" s="8">
        <f t="shared" ref="AE30:AE32" si="17">SUM(AA30:AD30)</f>
        <v>0</v>
      </c>
    </row>
    <row r="31" spans="2:31" ht="16" customHeight="1" x14ac:dyDescent="0.2">
      <c r="B31" s="41"/>
      <c r="C31" s="6" t="s">
        <v>32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322">
        <f t="shared" ref="P31:P32" si="18">SUM(D31:O31)</f>
        <v>0</v>
      </c>
      <c r="Q31" s="7"/>
      <c r="R31" s="7"/>
      <c r="S31" s="7"/>
      <c r="T31" s="7"/>
      <c r="U31" s="322">
        <f t="shared" ref="U31:U32" si="19">SUM(Q31:T31)</f>
        <v>0</v>
      </c>
      <c r="V31" s="7"/>
      <c r="W31" s="7"/>
      <c r="X31" s="7"/>
      <c r="Y31" s="7"/>
      <c r="Z31" s="322">
        <f t="shared" ref="Z31:Z32" si="20">SUM(V31:Y31)</f>
        <v>0</v>
      </c>
      <c r="AA31" s="7"/>
      <c r="AB31" s="7"/>
      <c r="AC31" s="7"/>
      <c r="AD31" s="7"/>
      <c r="AE31" s="8">
        <f t="shared" si="17"/>
        <v>0</v>
      </c>
    </row>
    <row r="32" spans="2:31" ht="16" customHeight="1" x14ac:dyDescent="0.2">
      <c r="B32" s="41"/>
      <c r="C32" s="6" t="s">
        <v>33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322">
        <f t="shared" si="18"/>
        <v>0</v>
      </c>
      <c r="Q32" s="7"/>
      <c r="R32" s="7"/>
      <c r="S32" s="7"/>
      <c r="T32" s="7"/>
      <c r="U32" s="322">
        <f t="shared" si="19"/>
        <v>0</v>
      </c>
      <c r="V32" s="7"/>
      <c r="W32" s="7"/>
      <c r="X32" s="7"/>
      <c r="Y32" s="7"/>
      <c r="Z32" s="322">
        <f t="shared" si="20"/>
        <v>0</v>
      </c>
      <c r="AA32" s="7"/>
      <c r="AB32" s="7"/>
      <c r="AC32" s="7"/>
      <c r="AD32" s="7"/>
      <c r="AE32" s="8">
        <f t="shared" si="17"/>
        <v>0</v>
      </c>
    </row>
    <row r="33" spans="2:31" ht="16" customHeight="1" x14ac:dyDescent="0.2">
      <c r="B33" s="40"/>
      <c r="C33" s="26" t="s">
        <v>34</v>
      </c>
      <c r="D33" s="309">
        <f>SUM(D30:D32)</f>
        <v>98094.65139225492</v>
      </c>
      <c r="E33" s="309">
        <f t="shared" ref="E33:Z33" si="21">SUM(E30:E32)</f>
        <v>96182.157727232887</v>
      </c>
      <c r="F33" s="309">
        <f t="shared" si="21"/>
        <v>94262.492210967001</v>
      </c>
      <c r="G33" s="309">
        <f t="shared" si="21"/>
        <v>92335.627949015019</v>
      </c>
      <c r="H33" s="309">
        <f t="shared" si="21"/>
        <v>90401.537946080702</v>
      </c>
      <c r="I33" s="309">
        <f t="shared" si="21"/>
        <v>88460.195105635401</v>
      </c>
      <c r="J33" s="309">
        <f t="shared" si="21"/>
        <v>86511.572229538491</v>
      </c>
      <c r="K33" s="309">
        <f t="shared" si="21"/>
        <v>84555.642017656122</v>
      </c>
      <c r="L33" s="309">
        <f t="shared" si="21"/>
        <v>82592.377067479247</v>
      </c>
      <c r="M33" s="309">
        <f t="shared" si="21"/>
        <v>80621.74987373926</v>
      </c>
      <c r="N33" s="309">
        <f t="shared" si="21"/>
        <v>78643.732828022752</v>
      </c>
      <c r="O33" s="309">
        <f t="shared" si="21"/>
        <v>76658.298218384632</v>
      </c>
      <c r="P33" s="310">
        <f t="shared" si="21"/>
        <v>76658.298218384632</v>
      </c>
      <c r="Q33" s="309">
        <f t="shared" si="21"/>
        <v>70657.21032535634</v>
      </c>
      <c r="R33" s="309">
        <f t="shared" si="21"/>
        <v>64588.356706172352</v>
      </c>
      <c r="S33" s="309">
        <f t="shared" si="21"/>
        <v>58450.972133973337</v>
      </c>
      <c r="T33" s="309">
        <f t="shared" si="21"/>
        <v>52244.282740774222</v>
      </c>
      <c r="U33" s="310">
        <f t="shared" si="21"/>
        <v>52244.282740774222</v>
      </c>
      <c r="V33" s="309">
        <f t="shared" si="21"/>
        <v>45967.505919887102</v>
      </c>
      <c r="W33" s="309">
        <f t="shared" si="21"/>
        <v>39619.850227240793</v>
      </c>
      <c r="X33" s="309">
        <f t="shared" si="21"/>
        <v>33200.515281588036</v>
      </c>
      <c r="Y33" s="309">
        <f t="shared" si="21"/>
        <v>26708.691663584214</v>
      </c>
      <c r="Z33" s="310">
        <f t="shared" si="21"/>
        <v>26708.691663584214</v>
      </c>
      <c r="AA33" s="38">
        <f t="shared" ref="AA33:AE33" si="22">SUM(AA30:AA32)</f>
        <v>0</v>
      </c>
      <c r="AB33" s="38">
        <f t="shared" si="22"/>
        <v>0</v>
      </c>
      <c r="AC33" s="38">
        <f t="shared" si="22"/>
        <v>0</v>
      </c>
      <c r="AD33" s="38">
        <f t="shared" si="22"/>
        <v>0</v>
      </c>
      <c r="AE33" s="37">
        <f t="shared" si="22"/>
        <v>0</v>
      </c>
    </row>
    <row r="34" spans="2:31" ht="16" customHeight="1" x14ac:dyDescent="0.2">
      <c r="B34" s="40"/>
      <c r="C34" s="10" t="s">
        <v>35</v>
      </c>
      <c r="D34" s="12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0"/>
      <c r="Q34" s="12"/>
      <c r="R34" s="12"/>
      <c r="S34" s="12"/>
      <c r="T34" s="12"/>
      <c r="U34" s="10"/>
      <c r="V34" s="12"/>
      <c r="W34" s="12"/>
      <c r="X34" s="12"/>
      <c r="Y34" s="12"/>
      <c r="Z34" s="10"/>
      <c r="AA34" s="12"/>
      <c r="AB34" s="12"/>
      <c r="AC34" s="12"/>
      <c r="AD34" s="12"/>
      <c r="AE34" s="13"/>
    </row>
    <row r="35" spans="2:31" ht="16" customHeight="1" x14ac:dyDescent="0.2">
      <c r="B35" s="41"/>
      <c r="C35" s="6" t="s">
        <v>36</v>
      </c>
      <c r="D35" s="340">
        <f>'5 Liquiditätsplanung'!D12</f>
        <v>32123</v>
      </c>
      <c r="E35" s="302">
        <f>'5 Liquiditätsplanung'!E12</f>
        <v>0</v>
      </c>
      <c r="F35" s="302">
        <f>'5 Liquiditätsplanung'!F12</f>
        <v>20340</v>
      </c>
      <c r="G35" s="302">
        <f>'5 Liquiditätsplanung'!G12</f>
        <v>0</v>
      </c>
      <c r="H35" s="302">
        <f>'5 Liquiditätsplanung'!H12</f>
        <v>0</v>
      </c>
      <c r="I35" s="302">
        <f>'5 Liquiditätsplanung'!I12</f>
        <v>0</v>
      </c>
      <c r="J35" s="302">
        <f>'5 Liquiditätsplanung'!J12</f>
        <v>0</v>
      </c>
      <c r="K35" s="302">
        <f>'5 Liquiditätsplanung'!K12</f>
        <v>0</v>
      </c>
      <c r="L35" s="302">
        <f>'5 Liquiditätsplanung'!L12</f>
        <v>0</v>
      </c>
      <c r="M35" s="302">
        <f>'5 Liquiditätsplanung'!M12</f>
        <v>0</v>
      </c>
      <c r="N35" s="302">
        <f>'5 Liquiditätsplanung'!N12</f>
        <v>0</v>
      </c>
      <c r="O35" s="302">
        <f>'5 Liquiditätsplanung'!O12</f>
        <v>0</v>
      </c>
      <c r="P35" s="322">
        <f>'5 Liquiditätsplanung'!O12</f>
        <v>0</v>
      </c>
      <c r="Q35" s="302">
        <f>0</f>
        <v>0</v>
      </c>
      <c r="R35" s="302">
        <f>0</f>
        <v>0</v>
      </c>
      <c r="S35" s="302">
        <f>0</f>
        <v>0</v>
      </c>
      <c r="T35" s="302">
        <f>0</f>
        <v>0</v>
      </c>
      <c r="U35" s="322">
        <f>0</f>
        <v>0</v>
      </c>
      <c r="V35" s="302">
        <f>0</f>
        <v>0</v>
      </c>
      <c r="W35" s="302">
        <f>0</f>
        <v>0</v>
      </c>
      <c r="X35" s="302">
        <f>0</f>
        <v>0</v>
      </c>
      <c r="Y35" s="302">
        <f>0</f>
        <v>0</v>
      </c>
      <c r="Z35" s="322">
        <f>0</f>
        <v>0</v>
      </c>
      <c r="AA35" s="7"/>
      <c r="AB35" s="7"/>
      <c r="AC35" s="7"/>
      <c r="AD35" s="7"/>
      <c r="AE35" s="8">
        <f t="shared" ref="AE35:AE36" si="23">SUM(AA35:AD35)</f>
        <v>0</v>
      </c>
    </row>
    <row r="36" spans="2:31" ht="16" customHeight="1" x14ac:dyDescent="0.2">
      <c r="B36" s="41"/>
      <c r="C36" s="6" t="s">
        <v>37</v>
      </c>
      <c r="D36" s="341">
        <f>MAX(0,-(SUM('5 Liquiditätsplanung'!D15:D15)))</f>
        <v>0</v>
      </c>
      <c r="E36" s="302">
        <f>MAX(0,-(SUM('5 Liquiditätsplanung'!D15:E15)))</f>
        <v>0</v>
      </c>
      <c r="F36" s="302">
        <f>MAX(0,-(SUM('5 Liquiditätsplanung'!D15:F15)))</f>
        <v>0</v>
      </c>
      <c r="G36" s="302">
        <f>MAX(0,-(SUM('5 Liquiditätsplanung'!D15:G15)))</f>
        <v>0</v>
      </c>
      <c r="H36" s="302">
        <f>MAX(0,-(SUM('5 Liquiditätsplanung'!D15:H15)))</f>
        <v>0</v>
      </c>
      <c r="I36" s="302">
        <f>MAX(0,-(SUM('5 Liquiditätsplanung'!D15:I15)))</f>
        <v>0</v>
      </c>
      <c r="J36" s="302">
        <f>MAX(0,-(SUM('5 Liquiditätsplanung'!D15:J15)))</f>
        <v>0</v>
      </c>
      <c r="K36" s="302">
        <f>MAX(0,-(SUM('5 Liquiditätsplanung'!D15:K15)))</f>
        <v>0</v>
      </c>
      <c r="L36" s="302">
        <f>MAX(0,-(SUM('5 Liquiditätsplanung'!D15:L15)))</f>
        <v>0</v>
      </c>
      <c r="M36" s="302">
        <f>MAX(0,-(SUM('5 Liquiditätsplanung'!D15:M15)))</f>
        <v>0</v>
      </c>
      <c r="N36" s="302">
        <f>MAX(0,-(SUM('5 Liquiditätsplanung'!D15:N15)))</f>
        <v>0</v>
      </c>
      <c r="O36" s="302">
        <f>MAX(0,-(SUM('5 Liquiditätsplanung'!D15:O15)))</f>
        <v>0</v>
      </c>
      <c r="P36" s="322">
        <f>MAX(0,-SUM('5 Liquiditätsplanung'!D15:O15))</f>
        <v>0</v>
      </c>
      <c r="Q36" s="302">
        <f>MAX(0,-(SUM('5 Liquiditätsplanung'!D15:O15)+SUM('5 Liquiditätsplanung'!Q15:Q15)))</f>
        <v>0</v>
      </c>
      <c r="R36" s="302">
        <f>MAX(0,-(SUM('5 Liquiditätsplanung'!D15:O15)+SUM('5 Liquiditätsplanung'!Q15:R15)))</f>
        <v>0</v>
      </c>
      <c r="S36" s="302">
        <f>MAX(0,-(SUM('5 Liquiditätsplanung'!D15:O15)+SUM('5 Liquiditätsplanung'!Q15:S15)))</f>
        <v>0</v>
      </c>
      <c r="T36" s="302">
        <f>MAX(0,-(SUM('5 Liquiditätsplanung'!D15:O15)+SUM('5 Liquiditätsplanung'!Q15:T15)))</f>
        <v>0</v>
      </c>
      <c r="U36" s="322">
        <f>MAX(0,-(SUM('5 Liquiditätsplanung'!D15:O15)+SUM('5 Liquiditätsplanung'!Q15:T15)+SUM('5 Liquiditätsplanung'!V15:V15)))</f>
        <v>0</v>
      </c>
      <c r="V36" s="302">
        <f>MAX(0,-(SUM('5 Liquiditätsplanung'!D15:O15)+SUM('5 Liquiditätsplanung'!Q15:T15)+SUM('5 Liquiditätsplanung'!V15:W15)))</f>
        <v>0</v>
      </c>
      <c r="W36" s="302">
        <f>MAX(0,-(SUM('5 Liquiditätsplanung'!D15:O15)+SUM('5 Liquiditätsplanung'!Q15:T15)+SUM('5 Liquiditätsplanung'!V15:X15)))</f>
        <v>0</v>
      </c>
      <c r="X36" s="302">
        <f>MAX(0,-(SUM('5 Liquiditätsplanung'!D15:O15)+SUM('5 Liquiditätsplanung'!Q15:T15)+SUM('5 Liquiditätsplanung'!V15:Y15)))</f>
        <v>0</v>
      </c>
      <c r="Y36" s="7"/>
      <c r="Z36" s="322">
        <f>MAX(0,-SUM('5 Liquiditätsplanung'!D15:O15)-SUM('5 Liquiditätsplanung'!Q15:T15)-SUM('5 Liquiditätsplanung'!V15:Y15))</f>
        <v>0</v>
      </c>
      <c r="AA36" s="7"/>
      <c r="AB36" s="7"/>
      <c r="AC36" s="7"/>
      <c r="AD36" s="7"/>
      <c r="AE36" s="8">
        <f t="shared" si="23"/>
        <v>0</v>
      </c>
    </row>
    <row r="37" spans="2:31" ht="16" customHeight="1" x14ac:dyDescent="0.2">
      <c r="B37" s="40"/>
      <c r="C37" s="3" t="s">
        <v>38</v>
      </c>
      <c r="D37" s="309">
        <f>SUM(D35:D36)</f>
        <v>32123</v>
      </c>
      <c r="E37" s="309">
        <f t="shared" ref="E37:Z37" si="24">SUM(E35:E36)</f>
        <v>0</v>
      </c>
      <c r="F37" s="309">
        <f t="shared" si="24"/>
        <v>20340</v>
      </c>
      <c r="G37" s="309">
        <f t="shared" si="24"/>
        <v>0</v>
      </c>
      <c r="H37" s="309">
        <f t="shared" si="24"/>
        <v>0</v>
      </c>
      <c r="I37" s="309">
        <f t="shared" si="24"/>
        <v>0</v>
      </c>
      <c r="J37" s="309">
        <f t="shared" si="24"/>
        <v>0</v>
      </c>
      <c r="K37" s="309">
        <f t="shared" si="24"/>
        <v>0</v>
      </c>
      <c r="L37" s="309">
        <f t="shared" si="24"/>
        <v>0</v>
      </c>
      <c r="M37" s="309">
        <f t="shared" si="24"/>
        <v>0</v>
      </c>
      <c r="N37" s="309">
        <f t="shared" si="24"/>
        <v>0</v>
      </c>
      <c r="O37" s="309">
        <f t="shared" si="24"/>
        <v>0</v>
      </c>
      <c r="P37" s="310">
        <f t="shared" si="24"/>
        <v>0</v>
      </c>
      <c r="Q37" s="309">
        <f t="shared" si="24"/>
        <v>0</v>
      </c>
      <c r="R37" s="309">
        <f t="shared" si="24"/>
        <v>0</v>
      </c>
      <c r="S37" s="309">
        <f t="shared" si="24"/>
        <v>0</v>
      </c>
      <c r="T37" s="309">
        <f t="shared" si="24"/>
        <v>0</v>
      </c>
      <c r="U37" s="310">
        <f t="shared" si="24"/>
        <v>0</v>
      </c>
      <c r="V37" s="309">
        <f t="shared" si="24"/>
        <v>0</v>
      </c>
      <c r="W37" s="309">
        <f t="shared" si="24"/>
        <v>0</v>
      </c>
      <c r="X37" s="309">
        <f t="shared" si="24"/>
        <v>0</v>
      </c>
      <c r="Y37" s="309">
        <f t="shared" si="24"/>
        <v>0</v>
      </c>
      <c r="Z37" s="310">
        <f t="shared" si="24"/>
        <v>0</v>
      </c>
      <c r="AA37" s="38">
        <f t="shared" ref="AA37:AE37" si="25">SUM(AA35:AA36)</f>
        <v>0</v>
      </c>
      <c r="AB37" s="38">
        <f t="shared" si="25"/>
        <v>0</v>
      </c>
      <c r="AC37" s="38">
        <f t="shared" si="25"/>
        <v>0</v>
      </c>
      <c r="AD37" s="38">
        <f t="shared" si="25"/>
        <v>0</v>
      </c>
      <c r="AE37" s="37">
        <f t="shared" si="25"/>
        <v>0</v>
      </c>
    </row>
    <row r="38" spans="2:31" ht="16" customHeight="1" x14ac:dyDescent="0.2">
      <c r="B38" s="25" t="s">
        <v>39</v>
      </c>
      <c r="C38" s="23"/>
      <c r="D38" s="342">
        <f>SUM(D33,D37)</f>
        <v>130217.65139225492</v>
      </c>
      <c r="E38" s="342">
        <f t="shared" ref="E38:Z38" si="26">SUM(E33,E37)</f>
        <v>96182.157727232887</v>
      </c>
      <c r="F38" s="342">
        <f t="shared" si="26"/>
        <v>114602.492210967</v>
      </c>
      <c r="G38" s="342">
        <f t="shared" si="26"/>
        <v>92335.627949015019</v>
      </c>
      <c r="H38" s="342">
        <f t="shared" si="26"/>
        <v>90401.537946080702</v>
      </c>
      <c r="I38" s="342">
        <f t="shared" si="26"/>
        <v>88460.195105635401</v>
      </c>
      <c r="J38" s="342">
        <f t="shared" si="26"/>
        <v>86511.572229538491</v>
      </c>
      <c r="K38" s="342">
        <f t="shared" si="26"/>
        <v>84555.642017656122</v>
      </c>
      <c r="L38" s="342">
        <f t="shared" si="26"/>
        <v>82592.377067479247</v>
      </c>
      <c r="M38" s="342">
        <f t="shared" si="26"/>
        <v>80621.74987373926</v>
      </c>
      <c r="N38" s="342">
        <f t="shared" si="26"/>
        <v>78643.732828022752</v>
      </c>
      <c r="O38" s="342">
        <f t="shared" si="26"/>
        <v>76658.298218384632</v>
      </c>
      <c r="P38" s="343">
        <f t="shared" si="26"/>
        <v>76658.298218384632</v>
      </c>
      <c r="Q38" s="342">
        <f t="shared" si="26"/>
        <v>70657.21032535634</v>
      </c>
      <c r="R38" s="342">
        <f t="shared" si="26"/>
        <v>64588.356706172352</v>
      </c>
      <c r="S38" s="342">
        <f t="shared" si="26"/>
        <v>58450.972133973337</v>
      </c>
      <c r="T38" s="342">
        <f t="shared" si="26"/>
        <v>52244.282740774222</v>
      </c>
      <c r="U38" s="343">
        <f t="shared" si="26"/>
        <v>52244.282740774222</v>
      </c>
      <c r="V38" s="342">
        <f t="shared" si="26"/>
        <v>45967.505919887102</v>
      </c>
      <c r="W38" s="342">
        <f t="shared" si="26"/>
        <v>39619.850227240793</v>
      </c>
      <c r="X38" s="342">
        <f t="shared" si="26"/>
        <v>33200.515281588036</v>
      </c>
      <c r="Y38" s="342">
        <f t="shared" si="26"/>
        <v>26708.691663584214</v>
      </c>
      <c r="Z38" s="343">
        <f t="shared" si="26"/>
        <v>26708.691663584214</v>
      </c>
      <c r="AA38" s="43">
        <f t="shared" ref="AA38:AE38" si="27">SUM(AA33,AA37)</f>
        <v>0</v>
      </c>
      <c r="AB38" s="43">
        <f t="shared" si="27"/>
        <v>0</v>
      </c>
      <c r="AC38" s="43">
        <f t="shared" si="27"/>
        <v>0</v>
      </c>
      <c r="AD38" s="43">
        <f t="shared" si="27"/>
        <v>0</v>
      </c>
      <c r="AE38" s="42">
        <f t="shared" si="27"/>
        <v>0</v>
      </c>
    </row>
    <row r="39" spans="2:31" ht="16" customHeight="1" x14ac:dyDescent="0.2">
      <c r="B39" s="25" t="s">
        <v>23</v>
      </c>
      <c r="C39" s="50"/>
      <c r="D39" s="309">
        <f ca="1">SUM(D27,D38)</f>
        <v>229939.87139225492</v>
      </c>
      <c r="E39" s="309">
        <f t="shared" ref="E39:Z39" ca="1" si="28">SUM(E27,E38)</f>
        <v>0</v>
      </c>
      <c r="F39" s="309">
        <f t="shared" ca="1" si="28"/>
        <v>0</v>
      </c>
      <c r="G39" s="309">
        <f t="shared" ca="1" si="28"/>
        <v>0</v>
      </c>
      <c r="H39" s="309">
        <f t="shared" ca="1" si="28"/>
        <v>0</v>
      </c>
      <c r="I39" s="309">
        <f t="shared" ca="1" si="28"/>
        <v>0</v>
      </c>
      <c r="J39" s="309">
        <f t="shared" ca="1" si="28"/>
        <v>0</v>
      </c>
      <c r="K39" s="309">
        <f t="shared" ca="1" si="28"/>
        <v>0</v>
      </c>
      <c r="L39" s="309">
        <f t="shared" ca="1" si="28"/>
        <v>0</v>
      </c>
      <c r="M39" s="309">
        <f t="shared" ca="1" si="28"/>
        <v>0</v>
      </c>
      <c r="N39" s="309">
        <f t="shared" ca="1" si="28"/>
        <v>0</v>
      </c>
      <c r="O39" s="309">
        <f t="shared" ca="1" si="28"/>
        <v>170044.96821838463</v>
      </c>
      <c r="P39" s="310">
        <f t="shared" ca="1" si="28"/>
        <v>0</v>
      </c>
      <c r="Q39" s="309">
        <f t="shared" ca="1" si="28"/>
        <v>0</v>
      </c>
      <c r="R39" s="309">
        <f t="shared" ca="1" si="28"/>
        <v>0</v>
      </c>
      <c r="S39" s="309">
        <f t="shared" ca="1" si="28"/>
        <v>0</v>
      </c>
      <c r="T39" s="309">
        <f t="shared" ca="1" si="28"/>
        <v>0</v>
      </c>
      <c r="U39" s="310">
        <f t="shared" ca="1" si="28"/>
        <v>0</v>
      </c>
      <c r="V39" s="309">
        <f t="shared" ca="1" si="28"/>
        <v>0</v>
      </c>
      <c r="W39" s="309">
        <f t="shared" ca="1" si="28"/>
        <v>0</v>
      </c>
      <c r="X39" s="309">
        <f t="shared" ca="1" si="28"/>
        <v>0</v>
      </c>
      <c r="Y39" s="309">
        <f t="shared" ca="1" si="28"/>
        <v>0</v>
      </c>
      <c r="Z39" s="310">
        <f t="shared" ca="1" si="28"/>
        <v>0</v>
      </c>
      <c r="AA39" s="38">
        <f t="shared" ref="AA39:AE39" si="29">SUM(AA27,AA38)</f>
        <v>0</v>
      </c>
      <c r="AB39" s="38">
        <f t="shared" si="29"/>
        <v>0</v>
      </c>
      <c r="AC39" s="38">
        <f t="shared" si="29"/>
        <v>0</v>
      </c>
      <c r="AD39" s="38">
        <f t="shared" si="29"/>
        <v>0</v>
      </c>
      <c r="AE39" s="37">
        <f t="shared" si="29"/>
        <v>0</v>
      </c>
    </row>
  </sheetData>
  <pageMargins left="0.7" right="0.7" top="0.75" bottom="0.75" header="0.3" footer="0.3"/>
  <pageSetup paperSize="9" orientation="portrait" horizontalDpi="0" verticalDpi="0"/>
  <ignoredErrors>
    <ignoredError sqref="P9 P21:P23 U9 Z9 P28 U28 Z28 P31:P32 U31:U32 Z31:Z32 P11:P15 U11:U15 Z11:Z15 P17 U17 Z17 U19:U23 Z19:Z2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Overview</vt:lpstr>
      <vt:lpstr>1 Produkt- und Absatzplanung </vt:lpstr>
      <vt:lpstr>2 Investit- und Personalplanung</vt:lpstr>
      <vt:lpstr>3 GuV - Cashflow</vt:lpstr>
      <vt:lpstr>4 Breakeven</vt:lpstr>
      <vt:lpstr>5 Liquiditätsplanung</vt:lpstr>
      <vt:lpstr>6 Kapitalbedarfsplanung</vt:lpstr>
      <vt:lpstr>7 Bilanz</vt:lpstr>
      <vt:lpstr>'1 Produkt- und Absatzplanung '!Category1</vt:lpstr>
      <vt:lpstr>'1 Produkt- und Absatzplanung '!Category1_Annual_Sales</vt:lpstr>
      <vt:lpstr>'1 Produkt- und Absatzplanung '!Category2</vt:lpstr>
      <vt:lpstr>'1 Produkt- und Absatzplanung '!Category2_Annual_Sales</vt:lpstr>
      <vt:lpstr>'1 Produkt- und Absatzplanung '!Category3</vt:lpstr>
      <vt:lpstr>'1 Produkt- und Absatzplanung '!Category3_Annual_Sales</vt:lpstr>
      <vt:lpstr>'1 Produkt- und Absatzplanung '!COGS_Annual_Total</vt:lpstr>
      <vt:lpstr>'1 Produkt- und Absatzplanung '!Margin_Annual_Total</vt:lpstr>
      <vt:lpstr>'1 Produkt- und Absatzplanung '!Print_Area</vt:lpstr>
      <vt:lpstr>'1 Produkt- und Absatzplanung '!Sales_Annual_Total</vt:lpstr>
      <vt:lpstr>'1 Produkt- und Absatzplanung '!Unit1_Annual</vt:lpstr>
      <vt:lpstr>'1 Produkt- und Absatzplanung '!Unit1_Annual_Sales</vt:lpstr>
      <vt:lpstr>'1 Produkt- und Absatzplanung '!Unit2_Annual</vt:lpstr>
      <vt:lpstr>'1 Produkt- und Absatzplanung '!Unit2_Annual_Sales</vt:lpstr>
      <vt:lpstr>'1 Produkt- und Absatzplanung '!Unit3_Annual</vt:lpstr>
      <vt:lpstr>'1 Produkt- und Absatzplanung '!Unit3_Annual_Sales</vt:lpstr>
      <vt:lpstr>'1 Produkt- und Absatzplanung '!Units_Annual_Total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Meder</dc:creator>
  <cp:lastModifiedBy>Mark Pschack</cp:lastModifiedBy>
  <dcterms:created xsi:type="dcterms:W3CDTF">2024-09-11T12:34:10Z</dcterms:created>
  <dcterms:modified xsi:type="dcterms:W3CDTF">2026-06-16T11:30:03Z</dcterms:modified>
</cp:coreProperties>
</file>